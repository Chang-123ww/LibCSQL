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 activeTab="5"/>
  </bookViews>
  <sheets>
    <sheet name="说明 Instructions" sheetId="1" r:id="rId1"/>
    <sheet name="复核 Review" sheetId="2" r:id="rId2"/>
    <sheet name="汇总 Summary" sheetId="3" r:id="rId3"/>
    <sheet name="分歧处理 Resolution" sheetId="4" r:id="rId4"/>
    <sheet name="数据库结构 Schema" sheetId="5" r:id="rId5"/>
    <sheet name="复核人信息 Reviewer" sheetId="6" r:id="rId6"/>
  </sheets>
  <definedNames>
    <definedName name="_xlnm._FilterDatabase" localSheetId="1" hidden="1">'复核 Review'!$A$1:$J$201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<sst xmlns="http://schemas.openxmlformats.org/spreadsheetml/2006/main" count="1338" uniqueCount="911">
  <si>
    <t>Gold SQL 独立复核表 / Independent Review of the Gold-Standard SQL</t>
  </si>
  <si>
    <t>研究：Comparing LLMs and Prompt Engineering Methods for NL2SQL in Academic Library Scenarios（何修成 Xiucheng He, Stamford International University）</t>
  </si>
  <si>
    <t>请您做什么 / What to do</t>
  </si>
  <si>
    <t>1. 在「复核 Review」表中逐条阅读【问题】与【Gold SQL】，并参考【执行结果】判断该 SQL 是否正确回答了问题。</t>
  </si>
  <si>
    <t>2. 在黄色格子里填写：【判定】从下拉框选（正确 / 有误 / 问题有歧义）；若选“有误”或“有歧义”，请在【说明】中写明原因，并尽量在【建议的 SQL】中给出您认为正确的写法。</t>
  </si>
  <si>
    <t>3. 只需判断 SQL 与问题是否一致，不需要评价问题出得好不好；同一问题有多种等价写法时，只要结果正确即算“正确”。</t>
  </si>
  <si>
    <t>4. 数据库结构、术语约定见「数据库结构 Schema」表；日期为 'YYYY-MM-DD' 文本，未归还时 return_date 为 NULL。</t>
  </si>
  <si>
    <t>5. 全部填完后，请在「复核人信息 Reviewer」表填写您的姓名、职称、单位和完成日期。论文中将写明复核人的身份与复核结果。</t>
  </si>
  <si>
    <t>判定标准 / Judgement options</t>
  </si>
  <si>
    <t>正确 Correct：SQL 的结果准确回答了问题。</t>
  </si>
  <si>
    <t>有误 Incorrect：SQL 漏条件、多条件、连错表、聚合或排序错误等，结果不能回答问题。</t>
  </si>
  <si>
    <t>问题有歧义 Ambiguous：问题本身可以有两种以上合理理解，而 SQL 只对应其中一种（请写明另一种理解）。</t>
  </si>
  <si>
    <t>填写示例 / Example (not part of the 200 items)</t>
  </si>
  <si>
    <t>问题：查询借书次数超过2次的读者姓名 | Gold SQL：SELECT r.name FROM readers r JOIN borrow_records br ON r.reader_id=br.reader_id GROUP BY r.name HAVING COUNT(*)&gt;2 | 判定：有误 | 说明：按姓名分组，同名读者会被合并，应按 reader_id 分组 | 建议 SQL：… GROUP BY r.reader_id, r.name HAVING COUNT(*)&gt;2</t>
  </si>
  <si>
    <t>预计用时：约 3–4 小时。共 200 条：L1 简单 50、L2 聚合 50、L3 多表连接 50、L4 嵌套 50。</t>
  </si>
  <si>
    <t>编号 ID</t>
  </si>
  <si>
    <t>难度 Level</t>
  </si>
  <si>
    <t>问题 Question</t>
  </si>
  <si>
    <t>Gold SQL</t>
  </si>
  <si>
    <t>结果行数 Rows</t>
  </si>
  <si>
    <t>执行结果（前5行）Result preview</t>
  </si>
  <si>
    <t>判定 Judgement</t>
  </si>
  <si>
    <t>说明 Reason</t>
  </si>
  <si>
    <t>建议的 SQL Suggested SQL</t>
  </si>
  <si>
    <t>备注 Notes</t>
  </si>
  <si>
    <t>L1-001</t>
  </si>
  <si>
    <t>L1 简单 Simple</t>
  </si>
  <si>
    <t>查找2025年出版的所有图书的书名和作者</t>
  </si>
  <si>
    <t>SELECT title, author FROM books WHERE publish_year = 2025</t>
  </si>
  <si>
    <t>title | author
人工智能：现代方法 | Russell
SQL必知必会 | Forta
深度学习入门 | 斋藤康毅
Python编程实践 | Matthes
呐喊 | 马伟
…</t>
  </si>
  <si>
    <t>正确</t>
  </si>
  <si>
    <t>L1-002</t>
  </si>
  <si>
    <t>查询所有教师读者的姓名和学院</t>
  </si>
  <si>
    <t>SELECT name, department FROM readers WHERE reader_type = '教师'</t>
  </si>
  <si>
    <t>name | department
赵敏 | 文学院
林雪 | 管理学院
罗欣怡 | 管理学院
马磊然 | 管理学院
赵若曦 | 经济学院
…</t>
  </si>
  <si>
    <t>L1-003</t>
  </si>
  <si>
    <t>列出馆藏复本总数超过15册的图书书名</t>
  </si>
  <si>
    <t>SELECT title FROM books WHERE total_copies &gt; 15</t>
  </si>
  <si>
    <t>title
活着
算法导论
呐喊
白鹿原
了不起的盖茨比
…</t>
  </si>
  <si>
    <t>L1-004</t>
  </si>
  <si>
    <t>帮我拉一下计算机学院所有读者的名单</t>
  </si>
  <si>
    <t>SELECT name FROM readers WHERE department = '计算机学院'</t>
  </si>
  <si>
    <t>name
王晓明
李思雨
郭思雨
周子涵
刘宇轩
…</t>
  </si>
  <si>
    <t>L1-005</t>
  </si>
  <si>
    <t>现在馆里还有哪些书能借？把书名和还剩几本都列出来</t>
  </si>
  <si>
    <t>SELECT title, available_copies FROM books WHERE available_copies &gt; 0</t>
  </si>
  <si>
    <t>title | available_copies
数据库系统概念 | 4
深入理解计算机系统 | 2
人工智能：现代方法 | 8
机器学习 | 6
深度学习入门 | 8
…</t>
  </si>
  <si>
    <t>L1-006</t>
  </si>
  <si>
    <t>列出所有位于三楼的馆藏地名称</t>
  </si>
  <si>
    <t>SELECT location_name FROM locations WHERE floor = 3</t>
  </si>
  <si>
    <t>location_name
三楼理科借阅区</t>
  </si>
  <si>
    <t>L1-007</t>
  </si>
  <si>
    <t>查询2018年以前出版的图书书名和出版年份</t>
  </si>
  <si>
    <t>SELECT title, publish_year FROM books WHERE publish_year &lt; 2018</t>
  </si>
  <si>
    <t>title | publish_year
机器学习 | 2016
活着 | 2017
百年孤独 | 2017
平凡的世界 | 2017
许三观卖血记（第5版） | 2015
…</t>
  </si>
  <si>
    <t>L1-008</t>
  </si>
  <si>
    <t>查找所有未归还的借阅记录编号和应还日期</t>
  </si>
  <si>
    <t>SELECT record_id, due_date FROM borrow_records WHERE return_date IS NULL</t>
  </si>
  <si>
    <t>record_id | due_date
3 | 2025-06-27
4 | 2025-02-15
7 | 2025-01-07
11 | 2025-07-04
15 | 2024-07-18
…</t>
  </si>
  <si>
    <t>L1-009</t>
  </si>
  <si>
    <t>列出所有出版社的名称和所在地址</t>
  </si>
  <si>
    <t>SELECT publisher_name, address FROM publishers</t>
  </si>
  <si>
    <t>publisher_name | address
机械工业出版社 | 北京
清华大学出版社 | 北京
人民文学出版社 | 北京
高等教育出版社 | 北京
电子工业出版社 | 北京
…</t>
  </si>
  <si>
    <t>L1-010</t>
  </si>
  <si>
    <t>查询2023年9月1日以后注册的读者姓名和注册日期</t>
  </si>
  <si>
    <t>SELECT name, register_date FROM readers WHERE register_date &gt; '2023-09-01'</t>
  </si>
  <si>
    <t>name | register_date
陈静 | 2024-09-01
郭俊杰 | 2024-09-01
黄博文 | 2024-09-01
郑磊 | 2024-09-01
马磊 | 2024-09-01
…</t>
  </si>
  <si>
    <t>L1-011</t>
  </si>
  <si>
    <t>哪些书现在已经被借空了？我想知道书名</t>
  </si>
  <si>
    <t>SELECT title FROM books WHERE available_copies = 0</t>
  </si>
  <si>
    <t>title
SQL必知必会
高等数学
月亮与六便士
概率论与数理统计
分布式系统原理
…</t>
  </si>
  <si>
    <t>L1-012</t>
  </si>
  <si>
    <t>查询所有研究生读者的姓名和学号</t>
  </si>
  <si>
    <t>SELECT name, student_id FROM readers WHERE reader_type = '研究生'</t>
  </si>
  <si>
    <t>name | student_id
陈静 | 2024220101
陈欣怡 | 202020043277
吴雨欣 | 202223212812
黄诗涵 | 202041163805
郭雪 | 202091478884
…</t>
  </si>
  <si>
    <t>L1-013</t>
  </si>
  <si>
    <t>列出馆藏复本数少于5册的图书书名</t>
  </si>
  <si>
    <t>SELECT title FROM books WHERE total_copies &lt; 5</t>
  </si>
  <si>
    <t>title
离散数学（第5版）
分布式系统原理
呐喊
月亮与六便士
操作系统概念
…</t>
  </si>
  <si>
    <t>L1-014</t>
  </si>
  <si>
    <t>查询外国语学院的所有读者姓名</t>
  </si>
  <si>
    <t>SELECT name FROM readers WHERE department = '外国语学院'</t>
  </si>
  <si>
    <t>name
陈欣怡
黄诗涵
郑磊
张宇轩
刘洋
…</t>
  </si>
  <si>
    <t>L1-015</t>
  </si>
  <si>
    <t>查找2020年及以后出版的图书书名和出版年份</t>
  </si>
  <si>
    <t>SELECT title, publish_year FROM books WHERE publish_year &gt;= 2020</t>
  </si>
  <si>
    <t>title | publish_year
数据库系统概念 | 2021
深入理解计算机系统 | 2020
人工智能：现代方法 | 2025
SQL必知必会 | 2025
深度学习入门 | 2025
…</t>
  </si>
  <si>
    <t>L1-016</t>
  </si>
  <si>
    <t>列出所有位于五楼的馆藏地名称和架位范围</t>
  </si>
  <si>
    <t>SELECT location_name, shelf_range FROM locations WHERE floor = 5</t>
  </si>
  <si>
    <t>location_name | shelf_range
五楼外文借阅区 | J001-K040</t>
  </si>
  <si>
    <t>L1-017</t>
  </si>
  <si>
    <t>哪些借阅记录续借过？把记录编号和续了几次都列出来</t>
  </si>
  <si>
    <t>SELECT record_id, renew_count FROM borrow_records WHERE renew_count &gt; 0</t>
  </si>
  <si>
    <t>record_id | renew_count
1 | 2
3 | 1
8 | 2
12 | 1
17 | 1
…</t>
  </si>
  <si>
    <t>L1-018</t>
  </si>
  <si>
    <t>查找2024年产生的借阅记录编号和借阅日期</t>
  </si>
  <si>
    <t>SELECT record_id, borrow_date FROM borrow_records WHERE borrow_date LIKE '2024%'</t>
  </si>
  <si>
    <t>record_id | borrow_date
1 | 2024-04-02
2 | 2024-02-12
4 | 2024-12-17
6 | 2024-10-16
7 | 2024-12-08
…</t>
  </si>
  <si>
    <t>L1-019</t>
  </si>
  <si>
    <t>查询所有已经归还的借阅记录编号和归还日期</t>
  </si>
  <si>
    <t>SELECT record_id, return_date FROM borrow_records WHERE return_date IS NOT NULL</t>
  </si>
  <si>
    <t>record_id | return_date
1 | 2024-05-04
2 | 2024-03-27
5 | 2025-05-05
6 | 2024-11-26
8 | 2024-06-14
…</t>
  </si>
  <si>
    <t>L1-020</t>
  </si>
  <si>
    <t>列出所有一级图书分类（没有上级分类的）的名称</t>
  </si>
  <si>
    <t>SELECT category_name FROM categories WHERE parent_category IS NULL</t>
  </si>
  <si>
    <t>category_name
计算机科学
中国文学
外国文学
经济学
管理学
…</t>
  </si>
  <si>
    <t>L1-021</t>
  </si>
  <si>
    <t>帮我查一下周志华写的书，馆里有哪些</t>
  </si>
  <si>
    <t>SELECT title FROM books WHERE author = '周志华'</t>
  </si>
  <si>
    <t>title
机器学习</t>
  </si>
  <si>
    <t>L1-022</t>
  </si>
  <si>
    <t>查询2022年9月1日之前注册的读者姓名和注册日期</t>
  </si>
  <si>
    <t>SELECT name, register_date FROM readers WHERE register_date &lt; '2022-09-01'</t>
  </si>
  <si>
    <t>name | register_date
张伟 | 2021-09-01
赵敏 | 2019-03-01
周晓明 | 2021-09-01
高嘉怡 | 2021-09-01
陈欣怡 | 2020-09-01
…</t>
  </si>
  <si>
    <t>L1-023</t>
  </si>
  <si>
    <t>列出所有位于二楼的馆藏地名称</t>
  </si>
  <si>
    <t>SELECT location_name FROM locations WHERE floor = 2</t>
  </si>
  <si>
    <t>location_name
二楼文学借阅区</t>
  </si>
  <si>
    <t>L1-024</t>
  </si>
  <si>
    <t>有哪些书一次都没被借出去、复本全都在架上的？列个书名</t>
  </si>
  <si>
    <t>SELECT title FROM books WHERE available_copies = total_copies</t>
  </si>
  <si>
    <t>title
人工智能：现代方法
经济学原理
呐喊
白鹿原
计算机网络（第5版）
…</t>
  </si>
  <si>
    <t>有误</t>
  </si>
  <si>
    <t>“一次都没被借出去”是历史口径，需要确认该图书在 borrow_records 中没有任何记录；available_copies = total_copies 只表示当前全部复本在架，借过又还清的书也满足，会多列。</t>
  </si>
  <si>
    <t>SELECT title FROM books WHERE book_id NOT IN (SELECT DISTINCT book_id FROM borrow_records);</t>
  </si>
  <si>
    <t>L1-025</t>
  </si>
  <si>
    <t>查询所有教师读者的姓名和职工号</t>
  </si>
  <si>
    <t>SELECT name, student_id FROM readers WHERE reader_type = '教师'</t>
  </si>
  <si>
    <t>name | student_id
赵敏 | T2019005
林雪 | T2021122
罗欣怡 | T2021133
马磊然 | T2022193
赵若曦 | T2019905
…</t>
  </si>
  <si>
    <t>L1-026</t>
  </si>
  <si>
    <t>列出2019年出版的图书书名和作者</t>
  </si>
  <si>
    <t>SELECT title, author FROM books WHERE publish_year = 2019</t>
  </si>
  <si>
    <t>title | author
红楼梦 | 曹雪芹
围城 | 赵伟
市场营销学（第2版） | 林天佑
平凡的世界 | 罗博文
白鹿原（第3版） | 刘嘉怡
…</t>
  </si>
  <si>
    <t>L1-027</t>
  </si>
  <si>
    <t>查找没有续借过的借阅记录编号</t>
  </si>
  <si>
    <t>SELECT record_id FROM borrow_records WHERE renew_count = 0</t>
  </si>
  <si>
    <t>record_id
2
4
5
6
7
…</t>
  </si>
  <si>
    <t>L1-028</t>
  </si>
  <si>
    <t>查询数学学院的所有读者姓名</t>
  </si>
  <si>
    <t>SELECT name FROM readers WHERE department = '数学学院'</t>
  </si>
  <si>
    <t>name
周晓明
吴嘉怡
马磊
陈静轩
朱敏
…</t>
  </si>
  <si>
    <t>L1-029</t>
  </si>
  <si>
    <t>列出所有出版社的名称</t>
  </si>
  <si>
    <t>SELECT publisher_name FROM publishers</t>
  </si>
  <si>
    <t>publisher_name
机械工业出版社
清华大学出版社
人民文学出版社
高等教育出版社
电子工业出版社
…</t>
  </si>
  <si>
    <t>L1-030</t>
  </si>
  <si>
    <t>查找应还日期在2025年6月之后的未归还借阅记录编号</t>
  </si>
  <si>
    <t>SELECT record_id FROM borrow_records WHERE return_date IS NULL AND due_date &gt; '2025-06-01'</t>
  </si>
  <si>
    <t>record_id
3
11
20
21
40
…</t>
  </si>
  <si>
    <t>问题有歧义</t>
  </si>
  <si>
    <t>“2025年6月之后”可有两种理解：(a) 进入6月以后、含6月（现 SQL：due_date &gt; '2025-06-01'）；(b) 6月结束以后、即7月1日起（due_date &gt;= '2025-07-01'）。SQL 只对应 (a)，建议明确口径。</t>
  </si>
  <si>
    <t>SELECT record_id FROM borrow_records WHERE return_date IS NULL AND due_date &gt;= '2025-07-01';  -- 若按理解(b)</t>
  </si>
  <si>
    <t>L1-031</t>
  </si>
  <si>
    <t>查询总复本数超过20册的图书书名和复本数</t>
  </si>
  <si>
    <t>SELECT title, total_copies FROM books WHERE total_copies &gt; 20</t>
  </si>
  <si>
    <t>title | total_copies
白鹿原 | 23
了不起的盖茨比 | 22
动物农场 | 21
英语语法大全 | 25
数据结构与算法分析（第2版） | 24
…</t>
  </si>
  <si>
    <t>L1-032</t>
  </si>
  <si>
    <t>我想找余华的书，馆里都有什么？</t>
  </si>
  <si>
    <t>SELECT title FROM books WHERE author = '余华'</t>
  </si>
  <si>
    <t>title
活着</t>
  </si>
  <si>
    <t>L1-033</t>
  </si>
  <si>
    <t>列出计算机科学下的所有二级分类名称</t>
  </si>
  <si>
    <t>SELECT category_name FROM categories WHERE parent_category = 1</t>
  </si>
  <si>
    <t>category_name
数据库技术
人工智能</t>
  </si>
  <si>
    <t>L1-034</t>
  </si>
  <si>
    <t>查询2024年注册的读者姓名和注册日期</t>
  </si>
  <si>
    <t>SELECT name, register_date FROM readers WHERE register_date LIKE '2024%'</t>
  </si>
  <si>
    <t>L1-035</t>
  </si>
  <si>
    <t>查找位于四楼的馆藏地名称</t>
  </si>
  <si>
    <t>SELECT location_name FROM locations WHERE floor = 4</t>
  </si>
  <si>
    <t>location_name
四楼社科借阅区</t>
  </si>
  <si>
    <t>L1-036</t>
  </si>
  <si>
    <t>哪些书快被借完了、可借的不到3本？书名和剩余数量都给我</t>
  </si>
  <si>
    <t>SELECT title, available_copies FROM books WHERE available_copies &lt; 3</t>
  </si>
  <si>
    <t>title | available_copies
深入理解计算机系统 | 2
SQL必知必会 | 0
红楼梦 | 1
Python编程实践 | 1
高等数学 | 0
…</t>
  </si>
  <si>
    <t>L1-037</t>
  </si>
  <si>
    <t>查询所有本科生读者的姓名和学号</t>
  </si>
  <si>
    <t>SELECT name, student_id FROM readers WHERE reader_type = '本科生'</t>
  </si>
  <si>
    <t>name | student_id
王晓明 | 2023011201
李思雨 | 2022030405
张伟 | 2021150607
周晓明 | 202188777447
郭洋 | 202256321751
…</t>
  </si>
  <si>
    <t>L1-038</t>
  </si>
  <si>
    <t>查找2015年出版的图书书名</t>
  </si>
  <si>
    <t>SELECT title FROM books WHERE publish_year = 2015</t>
  </si>
  <si>
    <t>title
许三观卖血记（第5版）
分布式系统原理
西方经济学
动物农场
平凡的世界
…</t>
  </si>
  <si>
    <t>L1-039</t>
  </si>
  <si>
    <t>列出续借次数达到2次的借阅记录编号</t>
  </si>
  <si>
    <t>SELECT record_id FROM borrow_records WHERE renew_count = 2</t>
  </si>
  <si>
    <t>record_id
1
8
30
39
43
…</t>
  </si>
  <si>
    <t>L1-040</t>
  </si>
  <si>
    <t>查询管理学院的所有读者姓名</t>
  </si>
  <si>
    <t>SELECT name FROM readers WHERE department = '管理学院'</t>
  </si>
  <si>
    <t>name
高嘉怡
胡静
徐嘉怡
郭嘉怡
吴雨欣
…</t>
  </si>
  <si>
    <t>L1-041</t>
  </si>
  <si>
    <t>查找作者是曹雪芹的图书书名</t>
  </si>
  <si>
    <t>SELECT title FROM books WHERE author = '曹雪芹'</t>
  </si>
  <si>
    <t>title
红楼梦</t>
  </si>
  <si>
    <t>L1-042</t>
  </si>
  <si>
    <t>列出所有外文借阅区的架位范围</t>
  </si>
  <si>
    <t>SELECT shelf_range FROM locations WHERE location_name LIKE '%外文%'</t>
  </si>
  <si>
    <t>shelf_range
J001-K040</t>
  </si>
  <si>
    <t>L1-043</t>
  </si>
  <si>
    <t>查询2025年5月之后的借阅记录编号和借阅日期</t>
  </si>
  <si>
    <t>SELECT record_id, borrow_date FROM borrow_records WHERE borrow_date &gt; '2025-05-01'</t>
  </si>
  <si>
    <t>record_id | borrow_date
3 | 2025-05-28
11 | 2025-06-04
12 | 2025-05-12
20 | 2025-06-12
21 | 2025-06-09
…</t>
  </si>
  <si>
    <t>“2025年5月之后”可理解为 (a) 含5月（现 SQL：borrow_date &gt; '2025-05-01'）或 (b) 5月之后、即6月1日起（borrow_date &gt;= '2025-06-01'）。SQL 只对应 (a)。</t>
  </si>
  <si>
    <t>SELECT record_id, borrow_date FROM borrow_records WHERE borrow_date &gt;= '2025-06-01';  -- 若按理解(b)</t>
  </si>
  <si>
    <t>L1-044</t>
  </si>
  <si>
    <t>书名里带SQL的书有哪些？</t>
  </si>
  <si>
    <t>SELECT title FROM books WHERE title LIKE '%SQL%'</t>
  </si>
  <si>
    <t>title
SQL必知必会</t>
  </si>
  <si>
    <t>L1-045</t>
  </si>
  <si>
    <t>查询2021年注册的读者姓名</t>
  </si>
  <si>
    <t>SELECT name FROM readers WHERE register_date LIKE '2021%'</t>
  </si>
  <si>
    <t>name
张伟
周晓明
高嘉怡
徐嘉怡
刘宇轩
…</t>
  </si>
  <si>
    <t>L1-046</t>
  </si>
  <si>
    <t>列出总复本数在10到15之间的图书书名</t>
  </si>
  <si>
    <t>SELECT title FROM books WHERE total_copies BETWEEN 10 AND 15</t>
  </si>
  <si>
    <t>title
深入理解计算机系统
深度学习入门
经济学原理
高等数学
围城
…</t>
  </si>
  <si>
    <t>L1-047</t>
  </si>
  <si>
    <t>查找归还日期在2025年3月的借阅记录编号</t>
  </si>
  <si>
    <t>SELECT record_id FROM borrow_records WHERE return_date LIKE '2025-03%'</t>
  </si>
  <si>
    <t>record_id
41
124
134
148
152
…</t>
  </si>
  <si>
    <t>L1-048</t>
  </si>
  <si>
    <t>查询经济学院的教师读者姓名</t>
  </si>
  <si>
    <t>SELECT name FROM readers WHERE department = '经济学院' AND reader_type = '教师'</t>
  </si>
  <si>
    <t>name
赵若曦
朱思雨</t>
  </si>
  <si>
    <t>L1-049</t>
  </si>
  <si>
    <t>列出2023年出版的图书书名和作者</t>
  </si>
  <si>
    <t>SELECT title, author FROM books WHERE publish_year = 2023</t>
  </si>
  <si>
    <t>title | author
管理学原理 | Robbins
白鹿原 | 郑伟
了不起的盖茨比 | 陈磊
离散数学（第5版） | 高洋
了不起的盖茨比 | 王静
…</t>
  </si>
  <si>
    <t>L1-050</t>
  </si>
  <si>
    <t>2025年新出的书里，现在还能借到的有哪些？</t>
  </si>
  <si>
    <t>SELECT title FROM books WHERE available_copies &gt; 0 AND publish_year = 2025</t>
  </si>
  <si>
    <t>title
人工智能：现代方法
深度学习入门
Python编程实践
呐喊
动物农场
…</t>
  </si>
  <si>
    <t>L2-001</t>
  </si>
  <si>
    <t>L2 聚合 Aggregation</t>
  </si>
  <si>
    <t>各个学院分别有多少读者？帮我统计一下</t>
  </si>
  <si>
    <t>SELECT department, COUNT(*) AS reader_count FROM readers GROUP BY department</t>
  </si>
  <si>
    <t>department | reader_count
外国语学院 | 20
数学学院 | 15
文学院 | 14
管理学院 | 20
经济学院 | 17
…</t>
  </si>
  <si>
    <t>L2-002</t>
  </si>
  <si>
    <t>统计每个出版年份的图书数量</t>
  </si>
  <si>
    <t>SELECT publish_year, COUNT(*) AS book_count FROM books GROUP BY publish_year</t>
  </si>
  <si>
    <t>publish_year | book_count
2015 | 8
2016 | 10
2017 | 12
2018 | 6
2019 | 12
…</t>
  </si>
  <si>
    <t>L2-003</t>
  </si>
  <si>
    <t>计算全馆图书馆藏复本的总数</t>
  </si>
  <si>
    <t>SELECT SUM(total_copies) AS total FROM books</t>
  </si>
  <si>
    <t>total
1649</t>
  </si>
  <si>
    <t>L2-004</t>
  </si>
  <si>
    <t>统计每种读者类型的人数</t>
  </si>
  <si>
    <t>SELECT reader_type, COUNT(*) AS cnt FROM readers GROUP BY reader_type</t>
  </si>
  <si>
    <t>reader_type | cnt
教师 | 10
本科生 | 70
研究生 | 20</t>
  </si>
  <si>
    <t>L2-005</t>
  </si>
  <si>
    <t>帮我统计下2025年总共借出去多少次</t>
  </si>
  <si>
    <t>SELECT COUNT(*) AS cnt FROM borrow_records WHERE borrow_date LIKE '2025%'</t>
  </si>
  <si>
    <t>cnt
275</t>
  </si>
  <si>
    <t>L2-006</t>
  </si>
  <si>
    <t>找出被续借次数最多的一条借阅记录的编号和续借次数</t>
  </si>
  <si>
    <t>SELECT record_id, renew_count FROM borrow_records ORDER BY renew_count DESC LIMIT 1</t>
  </si>
  <si>
    <t>record_id | renew_count
1 | 2</t>
  </si>
  <si>
    <t>L2-007</t>
  </si>
  <si>
    <t>按图书编号统计每本图书的被借阅次数</t>
  </si>
  <si>
    <t>SELECT book_id, COUNT(*) AS borrow_count FROM borrow_records GROUP BY book_id</t>
  </si>
  <si>
    <t>book_id | borrow_count
101 | 12
102 | 7
103 | 8
104 | 9
105 | 6
…</t>
  </si>
  <si>
    <t>L2-008</t>
  </si>
  <si>
    <t>计算所有图书可借复本的平均数量</t>
  </si>
  <si>
    <t>SELECT AVG(available_copies) AS avg_available FROM books</t>
  </si>
  <si>
    <t>avg_available
6.275</t>
  </si>
  <si>
    <t>L2-009</t>
  </si>
  <si>
    <t>统计每个学院中研究生读者的人数</t>
  </si>
  <si>
    <t>SELECT department, COUNT(*) AS cnt FROM readers WHERE reader_type = '研究生' GROUP BY department</t>
  </si>
  <si>
    <t>department | cnt
外国语学院 | 6
数学学院 | 2
文学院 | 1
管理学院 | 3
经济学院 | 5
…</t>
  </si>
  <si>
    <t>L2-010</t>
  </si>
  <si>
    <t>查询借阅次数超过8次的读者编号及其借阅次数</t>
  </si>
  <si>
    <t>SELECT reader_id, COUNT(*) AS cnt FROM borrow_records GROUP BY reader_id HAVING COUNT(*) &gt; 8</t>
  </si>
  <si>
    <t>reader_id | cnt
3 | 12
4 | 9
6 | 11
7 | 12
11 | 13
…</t>
  </si>
  <si>
    <t>L2-011</t>
  </si>
  <si>
    <t>统计每个出版年份的图书平均复本数</t>
  </si>
  <si>
    <t>SELECT publish_year, AVG(total_copies) AS avg_copies FROM books GROUP BY publish_year</t>
  </si>
  <si>
    <t>publish_year | avg_copies
2015 | 13.75
2016 | 14.8
2017 | 14.0
2018 | 15.333333333333334
2019 | 11.5
…</t>
  </si>
  <si>
    <t>L2-012</t>
  </si>
  <si>
    <t>统计每个学院的本科生读者人数</t>
  </si>
  <si>
    <t>SELECT department, COUNT(*) AS cnt FROM readers WHERE reader_type = '本科生' GROUP BY department</t>
  </si>
  <si>
    <t>department | cnt
外国语学院 | 12
数学学院 | 12
文学院 | 12
管理学院 | 13
经济学院 | 10
…</t>
  </si>
  <si>
    <t>L2-013</t>
  </si>
  <si>
    <t>计算所有未归还图书的总续借次数</t>
  </si>
  <si>
    <t>SELECT SUM(renew_count) AS total_renew FROM borrow_records WHERE return_date IS NULL</t>
  </si>
  <si>
    <t>total_renew
46</t>
  </si>
  <si>
    <t>L2-014</t>
  </si>
  <si>
    <t>统计每个楼层的馆藏地数量</t>
  </si>
  <si>
    <t>SELECT floor, COUNT(*) AS location_count FROM locations GROUP BY floor</t>
  </si>
  <si>
    <t>floor | location_count
2 | 1
3 | 1
4 | 1
5 | 1</t>
  </si>
  <si>
    <t>L2-015</t>
  </si>
  <si>
    <t>哪本书现在可借的册数最多？书名和数量告诉我</t>
  </si>
  <si>
    <t>SELECT title, available_copies FROM books ORDER BY available_copies DESC LIMIT 1</t>
  </si>
  <si>
    <t>title | available_copies
白鹿原 | 23</t>
  </si>
  <si>
    <t>L2-016</t>
  </si>
  <si>
    <t>统计2025年每个月的归还记录数量</t>
  </si>
  <si>
    <t>SELECT substr(return_date,1,7) AS month, COUNT(*) AS cnt FROM borrow_records WHERE return_date LIKE '2025%' GROUP BY substr(return_date,1,7)</t>
  </si>
  <si>
    <t>month | cnt
2025-01 | 40
2025-02 | 36
2025-03 | 34
2025-04 | 41
2025-05 | 29
…</t>
  </si>
  <si>
    <t>L2-017</t>
  </si>
  <si>
    <t>统计每个出版社ID对应的图书数量</t>
  </si>
  <si>
    <t>SELECT publisher_id, COUNT(*) AS book_count FROM books GROUP BY publisher_id</t>
  </si>
  <si>
    <t>publisher_id | book_count
1 | 21
2 | 20
3 | 19
4 | 19
5 | 26
…</t>
  </si>
  <si>
    <t>L2-018</t>
  </si>
  <si>
    <t>统计每种读者类型的平均注册年份</t>
  </si>
  <si>
    <t>SELECT reader_type, AVG(CAST(substr(register_date,1,4) AS INTEGER)) AS avg_year FROM readers GROUP BY reader_type</t>
  </si>
  <si>
    <t>reader_type | avg_year
教师 | 2020.9
本科生 | 2021.7
研究生 | 2021.65</t>
  </si>
  <si>
    <t>L2-019</t>
  </si>
  <si>
    <t>找出总复本数最少的图书书名和复本数</t>
  </si>
  <si>
    <t>SELECT title, total_copies FROM books ORDER BY total_copies ASC LIMIT 1</t>
  </si>
  <si>
    <t>title | total_copies
月亮与六便士 | 3</t>
  </si>
  <si>
    <t>L2-020</t>
  </si>
  <si>
    <t>统计2025年每个月的新增借阅记录数量</t>
  </si>
  <si>
    <t>SELECT substr(borrow_date,1,7) AS month, COUNT(*) AS cnt FROM borrow_records WHERE borrow_date LIKE '2025%' GROUP BY substr(borrow_date,1,7)</t>
  </si>
  <si>
    <t>month | cnt
2025-01 | 43
2025-02 | 34
2025-03 | 50
2025-04 | 36
2025-05 | 50
…</t>
  </si>
  <si>
    <t>L2-021</t>
  </si>
  <si>
    <t>统计每个分类ID下的图书总可借数量</t>
  </si>
  <si>
    <t>SELECT category_id, SUM(available_copies) AS total_available FROM books GROUP BY category_id</t>
  </si>
  <si>
    <t>category_id | total_available
1 | 73
2 | 44
3 | 99
4 | 97
5 | 118
…</t>
  </si>
  <si>
    <t>L2-022</t>
  </si>
  <si>
    <t>计算所有图书的平均可借复本数</t>
  </si>
  <si>
    <t>L2-023</t>
  </si>
  <si>
    <t>统计每个注册年份的读者人数</t>
  </si>
  <si>
    <t>SELECT substr(register_date,1,4) AS reg_year, COUNT(*) AS cnt FROM readers GROUP BY substr(register_date,1,4)</t>
  </si>
  <si>
    <t>reg_year | cnt
2019 | 16
2020 | 12
2021 | 18
2022 | 22
2023 | 13
…</t>
  </si>
  <si>
    <t>L2-024</t>
  </si>
  <si>
    <t>找出被续借次数最多的借阅记录的续借次数</t>
  </si>
  <si>
    <t>SELECT MAX(renew_count) AS max_renew FROM borrow_records</t>
  </si>
  <si>
    <t>max_renew
2</t>
  </si>
  <si>
    <t>L2-025</t>
  </si>
  <si>
    <t>统计图书数量超过10本的出版年份</t>
  </si>
  <si>
    <t>SELECT publish_year, COUNT(*) AS cnt FROM books GROUP BY publish_year HAVING COUNT(*) &gt; 10</t>
  </si>
  <si>
    <t>publish_year | cnt
2017 | 12
2019 | 12
2020 | 11
2021 | 12
2024 | 17
…</t>
  </si>
  <si>
    <t>L2-026</t>
  </si>
  <si>
    <t>统计每个学院的教师人数</t>
  </si>
  <si>
    <t>SELECT department, COUNT(*) AS cnt FROM readers WHERE reader_type = '教师' GROUP BY department</t>
  </si>
  <si>
    <t>department | cnt
外国语学院 | 2
数学学院 | 1
文学院 | 1
管理学院 | 4
经济学院 | 2</t>
  </si>
  <si>
    <t>L2-027</t>
  </si>
  <si>
    <t>计算所有已归还借阅记录的平均借阅天数</t>
  </si>
  <si>
    <t>SELECT AVG(julianday(return_date) - julianday(borrow_date)) AS avg_days FROM borrow_records WHERE return_date IS NOT NULL</t>
  </si>
  <si>
    <t>avg_days
24.555895865237368</t>
  </si>
  <si>
    <t>L2-028</t>
  </si>
  <si>
    <t>统计每个续借次数对应的借阅记录数量</t>
  </si>
  <si>
    <t>SELECT renew_count, COUNT(*) AS cnt FROM borrow_records GROUP BY renew_count</t>
  </si>
  <si>
    <t>renew_count | cnt
0 | 593
1 | 168
2 | 44</t>
  </si>
  <si>
    <t>L2-029</t>
  </si>
  <si>
    <t>找出出版年份最早的图书书名和年份</t>
  </si>
  <si>
    <t>SELECT title, publish_year FROM books ORDER BY publish_year ASC LIMIT 1</t>
  </si>
  <si>
    <t>title | publish_year
许三观卖血记（第5版） | 2015</t>
  </si>
  <si>
    <t>L2-030</t>
  </si>
  <si>
    <t>统计2024年每个季度的借阅量</t>
  </si>
  <si>
    <t>SELECT CASE WHEN borrow_date &lt; '2024-04-01' THEN 'Q1' WHEN borrow_date &lt; '2024-07-01' THEN 'Q2' WHEN borrow_date &lt; '2024-10-01' THEN 'Q3' ELSE 'Q4' END AS quarter, COUNT(*) AS cnt FROM borrow_records WHERE borrow_date LIKE '2024%' GROUP BY quarter</t>
  </si>
  <si>
    <t>quarter | cnt
Q1 | 127
Q2 | 135
Q3 | 127
Q4 | 141</t>
  </si>
  <si>
    <t>L2-031</t>
  </si>
  <si>
    <t>统计总复本数超过15本的图书数量</t>
  </si>
  <si>
    <t>SELECT COUNT(*) AS cnt FROM books WHERE total_copies &gt; 15</t>
  </si>
  <si>
    <t>cnt
49</t>
  </si>
  <si>
    <t>L2-032</t>
  </si>
  <si>
    <t>统计每个学院的研究生人数</t>
  </si>
  <si>
    <t>L2-033</t>
  </si>
  <si>
    <t>计算所有逾期未还借阅记录的平均逾期天数（以2025-07-01为参照）</t>
  </si>
  <si>
    <t>SELECT AVG(julianday('2025-07-01') - julianday(due_date)) AS avg_days_overdue FROM borrow_records WHERE return_date IS NULL AND due_date &lt; '2025-07-01'</t>
  </si>
  <si>
    <t>avg_days_overdue
202.65714285714284</t>
  </si>
  <si>
    <t>L2-034</t>
  </si>
  <si>
    <t>计算全馆图书馆藏复本的平均数量</t>
  </si>
  <si>
    <t>SELECT AVG(total_copies) AS avg_total FROM books</t>
  </si>
  <si>
    <t>avg_total
13.741666666666667</t>
  </si>
  <si>
    <t>L2-035</t>
  </si>
  <si>
    <t>找出2025年出版的图书总数量</t>
  </si>
  <si>
    <t>SELECT COUNT(*) AS cnt FROM books WHERE publish_year = 2025</t>
  </si>
  <si>
    <t>cnt
12</t>
  </si>
  <si>
    <t>L2-036</t>
  </si>
  <si>
    <t>统计平均可借数量少于5本的分类ID</t>
  </si>
  <si>
    <t>SELECT category_id, AVG(available_copies) AS avg_available FROM books GROUP BY category_id HAVING AVG(available_copies) &lt; 5</t>
  </si>
  <si>
    <t>category_id | avg_available
2 | 3.6666666666666665</t>
  </si>
  <si>
    <t>L2-037</t>
  </si>
  <si>
    <t>统计每个注册年份的研究生人数</t>
  </si>
  <si>
    <t>SELECT substr(register_date,1,4) AS reg_year, COUNT(*) AS cnt FROM readers WHERE reader_type = '研究生' GROUP BY substr(register_date,1,4)</t>
  </si>
  <si>
    <t>reg_year | cnt
2019 | 2
2020 | 5
2021 | 3
2022 | 2
2023 | 4
…</t>
  </si>
  <si>
    <t>L2-038</t>
  </si>
  <si>
    <t>找出借阅记录中最新的借阅日期</t>
  </si>
  <si>
    <t>SELECT MAX(borrow_date) AS latest_borrow FROM borrow_records</t>
  </si>
  <si>
    <t>latest_borrow
2025-06-30</t>
  </si>
  <si>
    <t>L2-039</t>
  </si>
  <si>
    <t>统计书名包含版字的多版次图书数量</t>
  </si>
  <si>
    <t>SELECT COUNT(*) AS cnt FROM books WHERE title LIKE '%版%'</t>
  </si>
  <si>
    <t>cnt
34</t>
  </si>
  <si>
    <t>L2-040</t>
  </si>
  <si>
    <t>6月份（2025年）一共借出去多少本？帮我数一下</t>
  </si>
  <si>
    <t>SELECT COUNT(*) AS cnt FROM borrow_records WHERE borrow_date LIKE '2025-06%'</t>
  </si>
  <si>
    <t>cnt
62</t>
  </si>
  <si>
    <t>L2-041</t>
  </si>
  <si>
    <t>计算所有图书的总馆藏复本数</t>
  </si>
  <si>
    <t>SELECT SUM(total_copies) AS total_copies FROM books</t>
  </si>
  <si>
    <t>total_copies
1649</t>
  </si>
  <si>
    <t>L2-042</t>
  </si>
  <si>
    <t>统计每个出版年份的可借图书总数量</t>
  </si>
  <si>
    <t>SELECT publish_year, SUM(available_copies) AS total_available FROM books GROUP BY publish_year</t>
  </si>
  <si>
    <t>publish_year | total_available
2015 | 48
2016 | 85
2017 | 70
2018 | 53
2019 | 77
…</t>
  </si>
  <si>
    <t>L2-043</t>
  </si>
  <si>
    <t>咱们馆最早的一条读者注册是什么时候？</t>
  </si>
  <si>
    <t>SELECT MIN(register_date) AS earliest_reg FROM readers</t>
  </si>
  <si>
    <t>earliest_reg
2019-03-01</t>
  </si>
  <si>
    <t>L2-044</t>
  </si>
  <si>
    <t>统计续借过至少1次的借阅记录总数</t>
  </si>
  <si>
    <t>SELECT COUNT(*) AS cnt FROM borrow_records WHERE renew_count &gt; 0</t>
  </si>
  <si>
    <t>cnt
212</t>
  </si>
  <si>
    <t>L2-045</t>
  </si>
  <si>
    <t>统计每个分类ID下的图书平均复本数</t>
  </si>
  <si>
    <t>SELECT category_id, AVG(total_copies) AS avg_total FROM books GROUP BY category_id</t>
  </si>
  <si>
    <t>category_id | avg_total
1 | 16.53846153846154
2 | 11.0
3 | 11.142857142857142
4 | 14.5
5 | 13.85
…</t>
  </si>
  <si>
    <t>L2-046</t>
  </si>
  <si>
    <t>统计2020年及以后出版的图书数量</t>
  </si>
  <si>
    <t>SELECT COUNT(*) AS cnt FROM books WHERE publish_year &gt;= 2020</t>
  </si>
  <si>
    <t>cnt
72</t>
  </si>
  <si>
    <t>L2-047</t>
  </si>
  <si>
    <t>统计所有在2025年到期的未归还借阅记录数量</t>
  </si>
  <si>
    <t>SELECT COUNT(*) AS cnt FROM borrow_records WHERE return_date IS NULL AND due_date LIKE '2025%'</t>
  </si>
  <si>
    <t>cnt
96</t>
  </si>
  <si>
    <t>L2-048</t>
  </si>
  <si>
    <t>可借册数最多的前3本书是哪几本？带上可借数量</t>
  </si>
  <si>
    <t>SELECT title, available_copies FROM books ORDER BY available_copies DESC LIMIT 3</t>
  </si>
  <si>
    <t>title | available_copies
白鹿原 | 23
平凡的世界 | 21
英语语法大全 | 20</t>
  </si>
  <si>
    <t>L2-049</t>
  </si>
  <si>
    <t>统计作者名字包含明字的图书数量</t>
  </si>
  <si>
    <t>SELECT COUNT(*) AS cnt FROM books WHERE author LIKE '%明%'</t>
  </si>
  <si>
    <t>cnt
2</t>
  </si>
  <si>
    <t>L2-050</t>
  </si>
  <si>
    <t>统计2024年每个月的新增读者注册数量</t>
  </si>
  <si>
    <t>SELECT substr(register_date,1,7) AS month, COUNT(*) AS cnt FROM readers WHERE register_date LIKE '2024%' GROUP BY substr(register_date,1,7)</t>
  </si>
  <si>
    <t>month | cnt
2024-09 | 19</t>
  </si>
  <si>
    <t>L3-001</t>
  </si>
  <si>
    <t>L3 多表连接 Join</t>
  </si>
  <si>
    <t>哪些读者借过《数据库系统概念》？列出他们的姓名和学院</t>
  </si>
  <si>
    <t>SELECT DISTINCT r.name, r.department FROM readers r JOIN borrow_records br ON r.reader_id = br.reader_id JOIN books b ON br.book_id = b.book_id WHERE b.title = '数据库系统概念'</t>
  </si>
  <si>
    <t>name | department
李洋 | 管理学院
胡静 | 管理学院
黄博文 | 文学院
胡梓萱 | 外国语学院
何浩然睿 | 文学院
…</t>
  </si>
  <si>
    <t>L3-002</t>
  </si>
  <si>
    <t>列出每本图书的书名及其出版社名称</t>
  </si>
  <si>
    <t>SELECT b.title, p.publisher_name FROM books b JOIN publishers p ON b.publisher_id = p.publisher_id</t>
  </si>
  <si>
    <t>title | publisher_name
数据库系统概念 | 机械工业出版社
深入理解计算机系统 | 机械工业出版社
人工智能：现代方法 | 清华大学出版社
机器学习 | 清华大学出版社
SQL必知必会 | 机械工业出版社
…</t>
  </si>
  <si>
    <t>L3-003</t>
  </si>
  <si>
    <t>查询计算机科学类图书的书名及其馆藏地名称</t>
  </si>
  <si>
    <t>SELECT b.title, l.location_name FROM books b JOIN categories c ON b.category_id = c.category_id JOIN locations l ON c.location_id = l.location_id WHERE c.category_name = '计算机科学'</t>
  </si>
  <si>
    <t>title | location_name
深入理解计算机系统 | 三楼理科借阅区
Python编程实践 | 三楼理科借阅区
算法导论 | 三楼理科借阅区
动物农场 | 三楼理科借阅区
线性代数（第3版） | 三楼理科借阅区
…</t>
  </si>
  <si>
    <t>L3-004</t>
  </si>
  <si>
    <t>帮我统计下2025年各学院的借阅量，从多到少排</t>
  </si>
  <si>
    <t>SELECT r.department, COUNT(*) AS borrow_count FROM readers r JOIN borrow_records br ON r.reader_id = br.reader_id WHERE br.borrow_date LIKE '2025%' GROUP BY r.department ORDER BY borrow_count DESC</t>
  </si>
  <si>
    <t>department | borrow_count
计算机学院 | 50
管理学院 | 50
数学学院 | 48
外国语学院 | 47
经济学院 | 44
…</t>
  </si>
  <si>
    <t>L3-005</t>
  </si>
  <si>
    <t>王晓明手里还有哪些书没还？书名和应还日期帮我查下</t>
  </si>
  <si>
    <t>SELECT b.title, br.due_date FROM readers r JOIN borrow_records br ON r.reader_id = br.reader_id JOIN books b ON br.book_id = b.book_id WHERE r.name = '王晓明' AND br.return_date IS NULL</t>
  </si>
  <si>
    <t>title | due_date
傲慢与偏见（第5版） | 2024-03-17
人工智能：现代方法 | 2025-06-11</t>
  </si>
  <si>
    <t>L3-006</t>
  </si>
  <si>
    <t>列出借阅量最高的3本图书的书名和被借次数</t>
  </si>
  <si>
    <t>SELECT b.title, COUNT(*) AS borrow_count FROM books b JOIN borrow_records br ON b.book_id = br.book_id GROUP BY b.book_id, b.title ORDER BY borrow_count DESC LIMIT 3</t>
  </si>
  <si>
    <t>title | borrow_count
编译原理 | 13
数据库系统概念 | 12
边城 | 12</t>
  </si>
  <si>
    <t>L3-007</t>
  </si>
  <si>
    <t>机械工业出版社的书里，现在在馆能借到的有哪些？</t>
  </si>
  <si>
    <t>SELECT b.title FROM books b JOIN publishers p ON b.publisher_id = p.publisher_id WHERE p.publisher_name = '机械工业出版社' AND b.available_copies &gt; 0</t>
  </si>
  <si>
    <t>title
数据库系统概念
深入理解计算机系统
深度学习入门
算法导论
围城
…</t>
  </si>
  <si>
    <t>L3-008</t>
  </si>
  <si>
    <t>统计每个馆藏地存放的图书种数</t>
  </si>
  <si>
    <t>SELECT l.location_name, COUNT(*) AS book_count FROM books b JOIN categories c ON b.category_id = c.category_id JOIN locations l ON c.location_id = l.location_id GROUP BY l.location_id, l.location_name</t>
  </si>
  <si>
    <t>location_name | book_count
三楼理科借阅区 | 54
二楼文学借阅区 | 34
四楼社科借阅区 | 23
五楼外文借阅区 | 9</t>
  </si>
  <si>
    <t>L3-009</t>
  </si>
  <si>
    <t>查询2025年借阅过人工智能类图书的读者姓名，去除重复</t>
  </si>
  <si>
    <t>SELECT DISTINCT r.name FROM readers r JOIN borrow_records br ON r.reader_id = br.reader_id JOIN books b ON br.book_id = b.book_id JOIN categories c ON b.category_id = c.category_id WHERE c.category_name = '人工智能' AND br.borrow_date LIKE '2025%'</t>
  </si>
  <si>
    <t>name
郭思雨
陈静
高嘉怡
高嘉怡睿
刘宇轩然
…</t>
  </si>
  <si>
    <t>L3-010</t>
  </si>
  <si>
    <t>列出文学院读者借阅过的所有图书书名，去除重复</t>
  </si>
  <si>
    <t>SELECT DISTINCT b.title FROM books b JOIN borrow_records br ON b.book_id = br.book_id JOIN readers r ON br.reader_id = r.reader_id WHERE r.department = '文学院'</t>
  </si>
  <si>
    <t>title
计量经济学（第5版）
傲慢与偏见（第5版）
分布式系统原理
动物农场
数字图像处理（第5版）
…</t>
  </si>
  <si>
    <t>L3-011</t>
  </si>
  <si>
    <t>列出2025年出版的计算机科学类图书书名和作者</t>
  </si>
  <si>
    <t>SELECT b.title, b.author FROM books b JOIN categories c ON b.category_id = c.category_id WHERE c.category_name = '计算机科学' AND b.publish_year = 2025</t>
  </si>
  <si>
    <t>title | author
Python编程实践 | Matthes
动物农场 | 何磊</t>
  </si>
  <si>
    <t>L3-012</t>
  </si>
  <si>
    <t>帮我看看李思雨都借过什么书，分别是什么时候借的</t>
  </si>
  <si>
    <t>SELECT b.title, br.borrow_date FROM readers r JOIN borrow_records br ON r.reader_id = br.reader_id JOIN books b ON br.book_id = b.book_id WHERE r.name = '李思雨'</t>
  </si>
  <si>
    <t>title | borrow_date
概率论与数理统计 | 2025-04-30
计量经济学（第5版） | 2025-01-27
离散数学（第3版） | 2024-11-19
统计学习方法（第3版） | 2025-02-03
围城 | 2024-07-03
…</t>
  </si>
  <si>
    <t>L3-013</t>
  </si>
  <si>
    <t>统计每个出版社的图书平均可借数量</t>
  </si>
  <si>
    <t>SELECT p.publisher_name, AVG(b.available_copies) AS avg_available FROM books b JOIN publishers p ON b.publisher_id = p.publisher_id GROUP BY p.publisher_name</t>
  </si>
  <si>
    <t>publisher_name | avg_available
人民文学出版社 | 5.631578947368421
外语教学与研究出版社 | 4.6
机械工业出版社 | 5.190476190476191
清华大学出版社 | 6.1
电子工业出版社 | 8.115384615384615
…</t>
  </si>
  <si>
    <t>L3-014</t>
  </si>
  <si>
    <t>查询三楼理科借阅区的人工智能类图书书名</t>
  </si>
  <si>
    <t>SELECT b.title FROM books b JOIN categories c ON b.category_id = c.category_id JOIN locations l ON c.location_id = l.location_id WHERE l.floor = 3 AND c.category_name = '人工智能'</t>
  </si>
  <si>
    <t>title
人工智能：现代方法
机器学习
深度学习入门
白鹿原
软件工程导论
…</t>
  </si>
  <si>
    <t>L3-015</t>
  </si>
  <si>
    <t>列出机械工业出版社出版的图书书名和作者</t>
  </si>
  <si>
    <t>SELECT b.title, b.author FROM books b JOIN publishers p ON b.publisher_id = p.publisher_id WHERE p.publisher_name = '机械工业出版社'</t>
  </si>
  <si>
    <t>title | author
数据库系统概念 | Silberschatz
深入理解计算机系统 | Bryant
SQL必知必会 | Forta
深度学习入门 | 斋藤康毅
算法导论 | Cormen
…</t>
  </si>
  <si>
    <t>L3-016</t>
  </si>
  <si>
    <t>统计2025年每个分类的图书借阅量，按借阅量降序排列</t>
  </si>
  <si>
    <t>SELECT c.category_name, COUNT(*) AS borrow_count FROM borrow_records br JOIN books b ON br.book_id = b.book_id JOIN categories c ON b.category_id = c.category_id WHERE br.borrow_date LIKE '2025%' GROUP BY c.category_name ORDER BY borrow_count DESC</t>
  </si>
  <si>
    <t>category_name | borrow_count
外国文学 | 47
中国文学 | 40
经济学 | 34
数据库技术 | 32
数学 | 31
…</t>
  </si>
  <si>
    <t>L3-017</t>
  </si>
  <si>
    <t>查询陈静未归还的图书书名和应还日期</t>
  </si>
  <si>
    <t>SELECT b.title, br.due_date FROM readers r JOIN borrow_records br ON r.reader_id = br.reader_id JOIN books b ON br.book_id = b.book_id WHERE r.name = '陈静' AND br.return_date IS NULL</t>
  </si>
  <si>
    <t>title | due_date
计量经济学（第3版） | 2025-04-29
组织行为学 | 2024-11-01
经济学原理 | 2025-05-15</t>
  </si>
  <si>
    <t>L3-018</t>
  </si>
  <si>
    <t>列出所有在架可借的外国文学类图书书名</t>
  </si>
  <si>
    <t>SELECT b.title FROM books b JOIN categories c ON b.category_id = c.category_id WHERE c.category_name = '外国文学' AND b.available_copies &gt; 0</t>
  </si>
  <si>
    <t>title
百年孤独
呐喊
新视野大学英语
统计学习方法（第3版）
财务管理
…</t>
  </si>
  <si>
    <t>L3-019</t>
  </si>
  <si>
    <t>统计2025年每个学院读者的借阅总量</t>
  </si>
  <si>
    <t>SELECT r.department, COUNT(*) AS borrow_count FROM readers r JOIN borrow_records br ON r.reader_id = br.reader_id WHERE br.borrow_date LIKE '2025%' GROUP BY r.department</t>
  </si>
  <si>
    <t>department | borrow_count
外国语学院 | 47
数学学院 | 48
文学院 | 36
管理学院 | 50
经济学院 | 44
…</t>
  </si>
  <si>
    <t>L3-020</t>
  </si>
  <si>
    <t>查询五楼外文借阅区的英语语言类图书书名</t>
  </si>
  <si>
    <t>SELECT b.title FROM books b JOIN categories c ON b.category_id = c.category_id JOIN locations l ON c.location_id = l.location_id WHERE l.floor = 5 AND c.category_name = '英语语言'</t>
  </si>
  <si>
    <t>title
离散数学（第5版）
许三观卖血记（第4版）
西方经济学
白鹿原
概率论与数理统计
…</t>
  </si>
  <si>
    <t>L3-021</t>
  </si>
  <si>
    <t>列出高等教育出版社出版的2025年新图书书名</t>
  </si>
  <si>
    <t>SELECT b.title FROM books b JOIN publishers p ON b.publisher_id = p.publisher_id WHERE p.publisher_name = '高等教育出版社' AND b.publish_year = 2025</t>
  </si>
  <si>
    <t>title
信息检索导论（第2版）
分布式系统原理（第2版）
围城</t>
  </si>
  <si>
    <t>L3-022</t>
  </si>
  <si>
    <t>张伟借过哪些书？同一本别重复列</t>
  </si>
  <si>
    <t>SELECT DISTINCT b.title FROM readers r JOIN borrow_records br ON r.reader_id = br.reader_id JOIN books b ON br.book_id = b.book_id WHERE r.name = '张伟'</t>
  </si>
  <si>
    <t>title
编译原理
经济学原理
白鹿原（第3版）
离散数学（第5版）
概率论与数理统计
…</t>
  </si>
  <si>
    <t>L3-023</t>
  </si>
  <si>
    <t>统计每个馆藏地的图书总可借数量</t>
  </si>
  <si>
    <t>SELECT l.location_name, SUM(b.available_copies) AS total_available FROM books b JOIN categories c ON b.category_id = c.category_id JOIN locations l ON c.location_id = l.location_id GROUP BY l.location_name</t>
  </si>
  <si>
    <t>location_name | total_available
三楼理科借阅区 | 326
二楼文学借阅区 | 215
五楼外文借阅区 | 46
四楼社科借阅区 | 166</t>
  </si>
  <si>
    <t>L3-024</t>
  </si>
  <si>
    <t>查询2025年教师读者借过的图书书名，去重</t>
  </si>
  <si>
    <t>SELECT DISTINCT b.title FROM readers r JOIN borrow_records br ON r.reader_id = br.reader_id JOIN books b ON br.book_id = b.book_id WHERE r.reader_type = '教师' AND br.borrow_date LIKE '2025%'</t>
  </si>
  <si>
    <t>title
离散数学（第5版）
深入理解计算机系统
市场营销学（第2版）
算法导论
西方经济学
…</t>
  </si>
  <si>
    <t>L3-025</t>
  </si>
  <si>
    <t>数据库技术类的书现在能借到哪些？每本还剩几册？</t>
  </si>
  <si>
    <t>SELECT b.title, b.available_copies FROM books b JOIN categories c ON b.category_id = c.category_id WHERE c.category_name = '数据库技术' AND b.available_copies &gt; 0</t>
  </si>
  <si>
    <t>title | available_copies
数据库系统概念 | 4
编译原理 | 13
计量经济学（第5版） | 2
呐喊 | 4
月亮与六便士 | 3
…</t>
  </si>
  <si>
    <t>L3-026</t>
  </si>
  <si>
    <t>统计清华大学出版社出版的不同分类图书数量</t>
  </si>
  <si>
    <t>SELECT c.category_name, COUNT(*) AS book_count FROM books b JOIN publishers p ON b.publisher_id = p.publisher_id JOIN categories c ON b.category_id = c.category_id WHERE p.publisher_name = '清华大学出版社' GROUP BY c.category_name</t>
  </si>
  <si>
    <t>category_name | book_count
中国文学 | 1
人工智能 | 3
外国文学 | 6
数学 | 2
管理学 | 1
…</t>
  </si>
  <si>
    <t>L3-027</t>
  </si>
  <si>
    <t>查询赵敏老师借过的图书书名和借阅日期</t>
  </si>
  <si>
    <t>SELECT b.title, br.borrow_date FROM readers r JOIN borrow_records br ON r.reader_id = br.reader_id JOIN books b ON br.book_id = b.book_id WHERE r.name = '赵敏'</t>
  </si>
  <si>
    <t>title | borrow_date
动物农场 | 2024-04-13
平凡的世界 | 2024-02-08
深入理解计算机系统 | 2025-05-22
市场营销学 | 2024-07-12
边城 | 2025-05-19
…</t>
  </si>
  <si>
    <t>L3-028</t>
  </si>
  <si>
    <t>列出二楼文学借阅区的中国文学类图书书名和作者</t>
  </si>
  <si>
    <t>SELECT b.title, b.author FROM books b JOIN categories c ON b.category_id = c.category_id JOIN locations l ON c.location_id = l.location_id WHERE l.floor = 2 AND c.category_name = '中国文学'</t>
  </si>
  <si>
    <t>title | author
红楼梦 | 曹雪芹
活着 | 余华
边城 | 沈从文
围城 | 赵伟
了不起的盖茨比 | 陈磊
…</t>
  </si>
  <si>
    <t>L3-029</t>
  </si>
  <si>
    <t>统计每个出版社2025年出版的图书数量</t>
  </si>
  <si>
    <t>SELECT p.publisher_name, COUNT(*) AS book_count FROM books b JOIN publishers p ON b.publisher_id = p.publisher_id WHERE b.publish_year = 2025 GROUP BY p.publisher_name</t>
  </si>
  <si>
    <t>publisher_name | book_count
人民文学出版社 | 2
机械工业出版社 | 3
清华大学出版社 | 2
电子工业出版社 | 2
高等教育出版社 | 3</t>
  </si>
  <si>
    <t>L3-030</t>
  </si>
  <si>
    <t>查询计算机学院读者未归还的图书书名和读者姓名</t>
  </si>
  <si>
    <t>SELECT r.name, b.title FROM readers r JOIN borrow_records br ON r.reader_id = br.reader_id JOIN books b ON br.book_id = b.book_id WHERE r.department = '计算机学院' AND br.return_date IS NULL</t>
  </si>
  <si>
    <t>name | title
周子涵 | 市场营销学
孙嘉怡 | 英语语法大全
郭思雨 | 人工智能：现代方法
孙浩然 | 白鹿原
周敏 | 组织行为学
…</t>
  </si>
  <si>
    <t>L3-031</t>
  </si>
  <si>
    <t>列出电子工业出版社出版的人工智能类图书书名</t>
  </si>
  <si>
    <t>SELECT b.title FROM books b JOIN publishers p ON b.publisher_id = p.publisher_id JOIN categories c ON b.category_id = c.category_id WHERE p.publisher_name = '电子工业出版社' AND c.category_name = '人工智能'</t>
  </si>
  <si>
    <t>title
白鹿原
软件工程导论
数据结构与算法分析
概率论与数理统计</t>
  </si>
  <si>
    <t>L3-032</t>
  </si>
  <si>
    <t>统计2025年每个月的不同分类借阅量</t>
  </si>
  <si>
    <t>SELECT substr(br.borrow_date,1,7) AS month, c.category_name, COUNT(*) AS cnt FROM borrow_records br JOIN books b ON br.book_id = b.book_id JOIN categories c ON b.category_id = c.category_id WHERE br.borrow_date LIKE '2025%' GROUP BY month, c.category_name</t>
  </si>
  <si>
    <t>month | category_name | cnt
2025-01 | 中国文学 | 4
2025-01 | 人工智能 | 4
2025-01 | 外国文学 | 6
2025-01 | 数学 | 3
2025-01 | 数据库技术 | 3
…</t>
  </si>
  <si>
    <t>L3-033</t>
  </si>
  <si>
    <t>查询经济学院读者借过的经济学类图书书名，去重</t>
  </si>
  <si>
    <t>SELECT DISTINCT b.title FROM readers r JOIN borrow_records br ON r.reader_id = br.reader_id JOIN books b ON br.book_id = b.book_id JOIN categories c ON b.category_id = c.category_id WHERE r.department = '经济学院' AND c.category_name = '经济学'</t>
  </si>
  <si>
    <t>title
老人与海
围城
英语语法大全
软件工程导论（第3版）
市场营销学（第2版）
…</t>
  </si>
  <si>
    <t>L3-034</t>
  </si>
  <si>
    <t>列出四楼社科借阅区的管理学类可借图书书名</t>
  </si>
  <si>
    <t>SELECT b.title FROM books b JOIN categories c ON b.category_id = c.category_id JOIN locations l ON c.location_id = l.location_id WHERE l.floor = 4 AND c.category_name = '管理学' AND b.available_copies &gt; 0</t>
  </si>
  <si>
    <t>title
管理学原理
自然语言处理综论
动物农场
分布式系统原理（第2版）
白鹿原
…</t>
  </si>
  <si>
    <t>L3-035</t>
  </si>
  <si>
    <t>统计人民文学出版社出版的文学类图书总数量</t>
  </si>
  <si>
    <t>SELECT COUNT(*) AS cnt FROM books b JOIN publishers p ON b.publisher_id = p.publisher_id JOIN categories c ON b.category_id = c.category_id WHERE p.publisher_name = '人民文学出版社' AND c.category_name IN ('中国文学', '外国文学')</t>
  </si>
  <si>
    <t>cnt
9</t>
  </si>
  <si>
    <t>L3-036</t>
  </si>
  <si>
    <t>查询续借过2次的读者姓名和对应的图书书名</t>
  </si>
  <si>
    <t>SELECT r.name, b.title FROM readers r JOIN borrow_records br ON r.reader_id = br.reader_id JOIN books b ON br.book_id = b.book_id WHERE br.renew_count = 2</t>
  </si>
  <si>
    <t>name | title
王敏 | 西方经济学
罗欣怡 | 信息检索导论（第2版）
郭思雨 | 分布式系统原理（第2版）
黄洋 | 市场营销学（第2版）
孙浩然 | 白鹿原
…</t>
  </si>
  <si>
    <t>L3-037</t>
  </si>
  <si>
    <t>列出外研社出版的英语语言类图书书名和出版年份</t>
  </si>
  <si>
    <t>SELECT b.title, b.publish_year FROM books b JOIN publishers p ON b.publisher_id = p.publisher_id JOIN categories c ON b.category_id = c.category_id WHERE p.publisher_name = '外语教学与研究出版社' AND c.category_name = '英语语言'</t>
  </si>
  <si>
    <t>title | publish_year
数据结构与算法分析 | 2022
财务管理（第2版） | 2019</t>
  </si>
  <si>
    <t>L3-038</t>
  </si>
  <si>
    <t>统计每个读者类型的图书借阅总数量</t>
  </si>
  <si>
    <t>SELECT r.reader_type, COUNT(*) AS borrow_count FROM readers r JOIN borrow_records br ON r.reader_id = br.reader_id GROUP BY r.reader_type</t>
  </si>
  <si>
    <t>reader_type | borrow_count
教师 | 91
本科生 | 540
研究生 | 174</t>
  </si>
  <si>
    <t>L3-039</t>
  </si>
  <si>
    <t>查询2025年5月借出的数学类图书书名和借阅日期</t>
  </si>
  <si>
    <t>SELECT b.title, br.borrow_date FROM borrow_records br JOIN books b ON br.book_id = b.book_id JOIN categories c ON b.category_id = c.category_id WHERE c.category_name = '数学' AND br.borrow_date LIKE '2025-05%'</t>
  </si>
  <si>
    <t>title | borrow_date
分布式系统原理 | 2025-05-12
西方经济学 | 2025-05-23
呐喊 | 2025-05-15
自然语言处理综论（第2版） | 2025-05-06
傲慢与偏见（第5版） | 2025-05-31
…</t>
  </si>
  <si>
    <t>L3-040</t>
  </si>
  <si>
    <t>列出借阅量最高的5本图书的书名和被借次数</t>
  </si>
  <si>
    <t>SELECT b.title, COUNT(*) AS borrow_count FROM books b JOIN borrow_records br ON br.book_id = b.book_id GROUP BY b.book_id, b.title ORDER BY borrow_count DESC LIMIT 5</t>
  </si>
  <si>
    <t>title | borrow_count
编译原理 | 13
数据库系统概念 | 12
边城 | 12
老人与海（第5版） | 12
计算机网络 | 12</t>
  </si>
  <si>
    <t>L3-041</t>
  </si>
  <si>
    <t>王晓明今年（2025年）都借了些什么书？</t>
  </si>
  <si>
    <t>SELECT DISTINCT b.title FROM readers r JOIN borrow_records br ON r.reader_id = br.reader_id JOIN books b ON br.book_id = b.book_id WHERE r.name = '王晓明' AND br.borrow_date LIKE '2025%'</t>
  </si>
  <si>
    <t>title
数据库系统概念
人工智能：现代方法</t>
  </si>
  <si>
    <t>L3-042</t>
  </si>
  <si>
    <t>统计每个馆藏地2025年的借阅量</t>
  </si>
  <si>
    <t>SELECT l.location_name, COUNT(*) AS borrow_count FROM borrow_records br JOIN books b ON br.book_id = b.book_id JOIN categories c ON b.category_id = c.category_id JOIN locations l ON c.location_id = l.location_id WHERE br.borrow_date LIKE '2025%' GROUP BY l.location_name</t>
  </si>
  <si>
    <t>location_name | borrow_count
三楼理科借阅区 | 115
二楼文学借阅区 | 87
五楼外文借阅区 | 24
四楼社科借阅区 | 49</t>
  </si>
  <si>
    <t>L3-043</t>
  </si>
  <si>
    <t>列出2020年及以后出版的可借计算机类图书书名</t>
  </si>
  <si>
    <t>SELECT b.title FROM books b JOIN categories c ON b.category_id = c.category_id WHERE c.category_name = '计算机科学' AND b.publish_year &gt;= 2020 AND b.available_copies &gt; 0</t>
  </si>
  <si>
    <t>title
深入理解计算机系统
Python编程实践
动物农场
线性代数（第3版）
数据结构与算法分析（第2版）
…</t>
  </si>
  <si>
    <t>L3-044</t>
  </si>
  <si>
    <t>查询外国语学院读者借过的英语类图书书名，去重</t>
  </si>
  <si>
    <t>SELECT DISTINCT b.title FROM readers r JOIN borrow_records br ON r.reader_id = br.reader_id JOIN books b ON br.book_id = b.book_id JOIN categories c ON b.category_id = c.category_id WHERE r.department = '外国语学院' AND c.category_name = '英语语言'</t>
  </si>
  <si>
    <t>title
西方经济学
许三观卖血记（第4版）
财务管理（第2版）
信息检索导论
编译原理
…</t>
  </si>
  <si>
    <t>L3-045</t>
  </si>
  <si>
    <t>统计每个分类的平均图书复本数</t>
  </si>
  <si>
    <t>SELECT c.category_name, AVG(b.total_copies) AS avg_copies FROM books b JOIN categories c ON b.category_id = c.category_id GROUP BY c.category_name</t>
  </si>
  <si>
    <t>category_name | avg_copies
中国文学 | 14.5
人工智能 | 11.142857142857142
外国文学 | 13.85
数学 | 15.8
数据库技术 | 11.0
…</t>
  </si>
  <si>
    <t>L3-046</t>
  </si>
  <si>
    <t>《数据库系统概念》这本书之前都是谁借的、什么时候还回来的？只看已经归还的</t>
  </si>
  <si>
    <t>SELECT r.name, br.return_date FROM readers r JOIN borrow_records br ON r.reader_id = br.reader_id JOIN books b ON br.book_id = b.book_id WHERE b.title = '数据库系统概念' AND br.return_date IS NOT NULL</t>
  </si>
  <si>
    <t>name | return_date
李洋 | 2025-07-02
胡静 | 2024-06-15
黄博文 | 2024-08-06
胡梓萱 | 2024-01-28
何浩然睿 | 2024-09-21
…</t>
  </si>
  <si>
    <t>L3-047</t>
  </si>
  <si>
    <t>列出三楼理科区2025年出版的可借图书书名</t>
  </si>
  <si>
    <t>SELECT b.title FROM books b JOIN categories c ON b.category_id = c.category_id JOIN locations l ON c.location_id = l.location_id WHERE l.floor = 3 AND b.publish_year = 2025 AND b.available_copies &gt; 0</t>
  </si>
  <si>
    <t>title
人工智能：现代方法
深度学习入门
Python编程实践
动物农场
编译原理
…</t>
  </si>
  <si>
    <t>L3-048</t>
  </si>
  <si>
    <t>统计每个出版社的图书总可借数量</t>
  </si>
  <si>
    <t>SELECT p.publisher_name, SUM(b.available_copies) AS total_available FROM books b JOIN publishers p ON b.publisher_id = p.publisher_id GROUP BY p.publisher_name</t>
  </si>
  <si>
    <t>publisher_name | total_available
人民文学出版社 | 107
外语教学与研究出版社 | 69
机械工业出版社 | 109
清华大学出版社 | 122
电子工业出版社 | 211
…</t>
  </si>
  <si>
    <t>L3-049</t>
  </si>
  <si>
    <t>查询研究生读者未归还的图书书名和应还日期</t>
  </si>
  <si>
    <t>SELECT b.title, br.due_date FROM readers r JOIN borrow_records br ON r.reader_id = br.reader_id JOIN books b ON br.book_id = b.book_id WHERE r.reader_type = '研究生' AND br.return_date IS NULL</t>
  </si>
  <si>
    <t>title | due_date
英语语法大全 | 2024-07-18
财务管理（第2版） | 2025-07-09
平凡的世界 | 2024-04-23
编译原理 | 2025-06-22
信息检索导论 | 2025-07-14
…</t>
  </si>
  <si>
    <t>L3-050</t>
  </si>
  <si>
    <t>列出作者是斋藤康毅的图书所在的馆藏地名称</t>
  </si>
  <si>
    <t>SELECT l.location_name FROM books b JOIN categories c ON b.category_id = c.category_id JOIN locations l ON c.location_id = l.location_id WHERE b.author = '斋藤康毅'</t>
  </si>
  <si>
    <t>L4-001</t>
  </si>
  <si>
    <t>L4 嵌套 Nested</t>
  </si>
  <si>
    <t>找出借阅量超过其所在学院平均借阅量的读者姓名和借阅次数</t>
  </si>
  <si>
    <t>WITH rc AS (SELECT r.reader_id, r.name, r.department, COUNT(br.record_id) AS cnt FROM readers r LEFT JOIN borrow_records br ON r.reader_id = br.reader_id GROUP BY r.reader_id, r.name, r.department), da AS (SELECT department, AVG(cnt) AS avg_cnt FROM rc GROUP BY department) SELECT rc.name, rc.cnt FROM rc JOIN da ON rc.department = da.department WHERE rc.cnt &gt; da.avg_cnt</t>
  </si>
  <si>
    <t>name | cnt
张伟 | 12
陈静 | 9
周晓明 | 11
郭洋 | 12
郭思雨 | 13
…</t>
  </si>
  <si>
    <t>L4-002</t>
  </si>
  <si>
    <t>有没有从来没人借过的书？列一下书名</t>
  </si>
  <si>
    <t>SELECT title FROM books WHERE book_id NOT IN (SELECT DISTINCT book_id FROM borrow_records)</t>
  </si>
  <si>
    <t>title
傲慢与偏见
月亮与六便士
动物农场
新视野大学英语
英语语法大全（第3版）
…</t>
  </si>
  <si>
    <t>L4-003</t>
  </si>
  <si>
    <t>找出借阅总量最高的学院名称及其借阅量</t>
  </si>
  <si>
    <t>SELECT r.department, COUNT(*) AS cnt FROM readers r JOIN borrow_records br ON r.reader_id = br.reader_id GROUP BY r.department ORDER BY cnt DESC LIMIT 1</t>
  </si>
  <si>
    <t>department | cnt
管理学院 | 157</t>
  </si>
  <si>
    <t>L4-004</t>
  </si>
  <si>
    <t>查询借阅过至少4本不同图书的读者姓名</t>
  </si>
  <si>
    <t>SELECT r.name FROM readers r JOIN borrow_records br ON r.reader_id = br.reader_id GROUP BY r.reader_id, r.name HAVING COUNT(DISTINCT br.book_id) &gt;= 4</t>
  </si>
  <si>
    <t>name
王晓明
李思雨
张伟
陈静
赵敏
…</t>
  </si>
  <si>
    <t>L4-005</t>
  </si>
  <si>
    <t>找出出版图书数量高于各出版社平均出版量的出版社名称</t>
  </si>
  <si>
    <t>WITH pc AS (SELECT p.publisher_id, p.publisher_name, COUNT(b.book_id) AS cnt FROM publishers p LEFT JOIN books b ON p.publisher_id = b.publisher_id GROUP BY p.publisher_id, p.publisher_name) SELECT publisher_name FROM pc WHERE cnt &gt; (SELECT AVG(cnt) FROM pc)</t>
  </si>
  <si>
    <t>publisher_name
机械工业出版社
电子工业出版社</t>
  </si>
  <si>
    <t>L4-006</t>
  </si>
  <si>
    <t>以2025年7月1日为参照，查询所有逾期未还的借阅：列出读者姓名、书名和应还日期</t>
  </si>
  <si>
    <t>SELECT r.name, b.title, br.due_date FROM borrow_records br JOIN readers r ON br.reader_id = r.reader_id JOIN books b ON br.book_id = b.book_id WHERE br.return_date IS NULL AND br.due_date &lt; '2025-07-01'</t>
  </si>
  <si>
    <t>name | title | due_date
周子涵 | 市场营销学 | 2025-06-27
马若曦 | 傲慢与偏见（第5版） | 2025-02-15
王宇轩 | 许三观卖血记（第4版） | 2025-01-07
孙嘉怡 | 英语语法大全 | 2024-07-18
陈欣怡 | 平凡的世界 | 2024-04-23
…</t>
  </si>
  <si>
    <t>L4-007</t>
  </si>
  <si>
    <t>统计2025年每个月的借阅量</t>
  </si>
  <si>
    <t>SELECT substr(borrow_date, 1, 7) AS month, COUNT(*) AS cnt FROM borrow_records WHERE borrow_date LIKE '2025%' GROUP BY substr(borrow_date, 1, 7)</t>
  </si>
  <si>
    <t>L4-008</t>
  </si>
  <si>
    <t>既借过计算机科学类又借过中国文学类图书的读者都有谁？</t>
  </si>
  <si>
    <t>SELECT name FROM readers WHERE reader_id IN (SELECT br.reader_id FROM borrow_records br JOIN books b ON br.book_id = b.book_id JOIN categories c ON b.category_id = c.category_id WHERE c.category_name = '计算机科学') AND reader_id IN (SELECT br.reader_id FROM borrow_records br JOIN books b ON br.book_id = b.book_id JOIN categories c ON b.category_id = c.category_id WHERE c.category_name = '中国文学')</t>
  </si>
  <si>
    <t>name
李思雨
赵敏
郭洋
胡静
周子涵
…</t>
  </si>
  <si>
    <t>L4-009</t>
  </si>
  <si>
    <t>找出每个学院借阅量最高的读者姓名及其借阅次数</t>
  </si>
  <si>
    <t>WITH rc AS (SELECT r.reader_id, r.name, r.department, COUNT(br.record_id) AS cnt FROM readers r JOIN borrow_records br ON r.reader_id = br.reader_id GROUP BY r.reader_id, r.name, r.department) SELECT department, name, cnt FROM rc WHERE cnt = (SELECT MAX(cnt) FROM rc rc2 WHERE rc2.department = rc.department)</t>
  </si>
  <si>
    <t>department | name | cnt
计算机学院 | 郭思雨 | 13
管理学院 | 胡静 | 14
计算机学院 | 刘宇轩 | 13
外国语学院 | 胡梓萱 | 12
外国语学院 | 刘嘉怡 | 12
…</t>
  </si>
  <si>
    <t>L4-010</t>
  </si>
  <si>
    <t>查询可借复本占馆藏复本比例低于30%的图书书名和该比例</t>
  </si>
  <si>
    <t>SELECT title, available_copies * 1.0 / total_copies AS ratio FROM books WHERE available_copies * 1.0 / total_copies &lt; 0.3</t>
  </si>
  <si>
    <t>title | ratio
深入理解计算机系统 | 0.16666666666666666
SQL必知必会 | 0.0
红楼梦 | 0.2
Python编程实践 | 0.2
高等数学 | 0.0
…</t>
  </si>
  <si>
    <t>L4-011</t>
  </si>
  <si>
    <t>查询从来没有借过数学类图书的读者姓名</t>
  </si>
  <si>
    <t>SELECT name FROM readers WHERE reader_id NOT IN (SELECT DISTINCT br.reader_id FROM borrow_records br JOIN books b ON br.book_id = b.book_id JOIN categories c ON b.category_id = c.category_id WHERE c.category_name = '数学')</t>
  </si>
  <si>
    <t>name
李思雨
陈静
赵敏
高嘉怡
胡静
…</t>
  </si>
  <si>
    <t>L4-012</t>
  </si>
  <si>
    <t>找出2024年出版但从来没被借过的图书书名</t>
  </si>
  <si>
    <t>SELECT title FROM books WHERE publish_year = 2024 AND book_id NOT IN (SELECT DISTINCT book_id FROM borrow_records)</t>
  </si>
  <si>
    <t>title
动物农场</t>
  </si>
  <si>
    <t>L4-013</t>
  </si>
  <si>
    <t>哪些读者的借阅量比全馆平均水平还高？姓名和借了多少次都要</t>
  </si>
  <si>
    <t>WITH reader_borrow AS (SELECT reader_id, COUNT(*) AS cnt FROM borrow_records GROUP BY reader_id) SELECT r.name, rb.cnt FROM readers r JOIN reader_borrow rb ON r.reader_id = rb.reader_id WHERE rb.cnt &gt; (SELECT AVG(cnt) FROM reader_borrow)</t>
  </si>
  <si>
    <t>L4-014</t>
  </si>
  <si>
    <t>找出每个出版社出版的最新图书书名和出版年份</t>
  </si>
  <si>
    <t>WITH pub_max AS (SELECT publisher_id, MAX(publish_year) AS max_year FROM books GROUP BY publisher_id) SELECT p.publisher_name, b.title, b.publish_year FROM books b JOIN pub_max pm ON b.publisher_id = pm.publisher_id AND b.publish_year = pm.max_year JOIN publishers p ON b.publisher_id = p.publisher_id</t>
  </si>
  <si>
    <t>publisher_name | title | publish_year
清华大学出版社 | 人工智能：现代方法 | 2025
机械工业出版社 | SQL必知必会 | 2025
机械工业出版社 | 深度学习入门 | 2025
清华大学出版社 | Python编程实践 | 2025
电子工业出版社 | 呐喊 | 2025
…</t>
  </si>
  <si>
    <t>L4-015</t>
  </si>
  <si>
    <t>查询同时借过计算机类和数学类图书的读者姓名</t>
  </si>
  <si>
    <t>SELECT name FROM readers WHERE reader_id IN (SELECT br.reader_id FROM borrow_records br JOIN books b ON br.book_id = b.book_id JOIN categories c ON b.category_id = c.category_id WHERE c.category_name = '计算机科学') AND reader_id IN (SELECT br.reader_id FROM borrow_records br JOIN books b ON br.book_id = b.book_id JOIN categories c ON b.category_id = c.category_id WHERE c.category_name = '数学')</t>
  </si>
  <si>
    <t>name
周晓明
郭洋
郭俊杰
郭思雨
徐嘉怡
…</t>
  </si>
  <si>
    <t>L4-016</t>
  </si>
  <si>
    <t>以2025年7月1日为参照，找出逾期超过30天的读者姓名、图书书名和逾期天数</t>
  </si>
  <si>
    <t>SELECT r.name, b.title, CAST(julianday('2025-07-01') - julianday(br.due_date) AS INTEGER) AS overdue_days FROM borrow_records br JOIN readers r ON br.reader_id = r.reader_id JOIN books b ON br.book_id = b.book_id WHERE br.return_date IS NULL AND br.due_date &lt; date('2025-07-01', '-30 days')</t>
  </si>
  <si>
    <t>name | title | overdue_days
马若曦 | 傲慢与偏见（第5版） | 136
王宇轩 | 许三观卖血记（第4版） | 175
孙嘉怡 | 英语语法大全 | 348
陈欣怡 | 平凡的世界 | 434
郭思雨 | 人工智能：现代方法 | 37
…</t>
  </si>
  <si>
    <t>L4-017</t>
  </si>
  <si>
    <t>找出每个分类下借阅量最高的图书书名和借阅次数</t>
  </si>
  <si>
    <t>WITH cat_borrow AS (SELECT b.category_id, b.book_id, b.title, COUNT(*) AS cnt FROM borrow_records br JOIN books b ON br.book_id = b.book_id GROUP BY b.category_id, b.book_id, b.title) SELECT c.category_name, cb.title, cb.cnt FROM cat_borrow cb JOIN categories c ON cb.category_id = c.category_id WHERE cb.cnt = (SELECT MAX(cnt) FROM cat_borrow cb2 WHERE cb2.category_id = cb.category_id)</t>
  </si>
  <si>
    <t>category_name | title | cnt
计算机科学 | 数字图像处理 | 10
数据库技术 | 数据库系统概念 | 12
数据库技术 | 新视野大学英语 | 12
人工智能 | 概率论与数理统计 | 11
中国文学 | 边城 | 12
…</t>
  </si>
  <si>
    <t>L4-018</t>
  </si>
  <si>
    <t>查询可借复本占总复本比例超过70%的图书书名和比例</t>
  </si>
  <si>
    <t>SELECT title, ROUND(available_copies * 1.0 / total_copies, 2) AS ratio FROM books WHERE available_copies * 1.0 / total_copies &gt; 0.7</t>
  </si>
  <si>
    <t>title | ratio
人工智能：现代方法 | 1.0
机器学习 | 0.86
深度学习入门 | 0.73
活着 | 0.78
经济学原理 | 1.0
…</t>
  </si>
  <si>
    <t>L4-019</t>
  </si>
  <si>
    <t>找出每个学院借阅量最高的读者姓名和借阅次数</t>
  </si>
  <si>
    <t>WITH dept_borrow AS (SELECT r.department, r.reader_id, r.name, COUNT(*) AS cnt FROM readers r JOIN borrow_records br ON r.reader_id = br.reader_id GROUP BY r.department, r.reader_id, r.name) SELECT department, name, cnt FROM dept_borrow db WHERE cnt = (SELECT MAX(cnt) FROM dept_borrow db2 WHERE db2.department = db.department)</t>
  </si>
  <si>
    <t>department | name | cnt
外国语学院 | 胡梓萱 | 12
外国语学院 | 刘嘉怡 | 12
数学学院 | 刘梓萱 | 13
数学学院 | 马晓明 | 13
文学院 | 马若曦 | 15
…</t>
  </si>
  <si>
    <t>L4-020</t>
  </si>
  <si>
    <t>查询既借过2024年出版的书又借过2025年出版的书的读者姓名</t>
  </si>
  <si>
    <t>SELECT DISTINCT r.name FROM readers r JOIN borrow_records br ON r.reader_id = br.reader_id JOIN books b ON br.book_id = b.book_id WHERE b.publish_year = 2024 AND r.reader_id IN (SELECT br2.reader_id FROM borrow_records br2 JOIN books b2 ON br2.book_id = b2.book_id WHERE b2.publish_year = 2025)</t>
  </si>
  <si>
    <t>name
吴嘉怡
马晓明
马诗涵
孙雨欣
林诗涵
…</t>
  </si>
  <si>
    <t>L4-021</t>
  </si>
  <si>
    <t>找出从来没有被借过的2020年及以后出版的图书书名</t>
  </si>
  <si>
    <t>SELECT title FROM books WHERE publish_year &gt;= 2020 AND book_id NOT IN (SELECT DISTINCT book_id FROM borrow_records)</t>
  </si>
  <si>
    <t>title
傲慢与偏见
动物农场
新视野大学英语
英语语法大全（第3版）
线性代数（第2版）
…</t>
  </si>
  <si>
    <t>L4-022</t>
  </si>
  <si>
    <t>查询图书数量高于全馆出版社平均出书量的出版社名称</t>
  </si>
  <si>
    <t>WITH pub_count AS (SELECT publisher_id, COUNT(*) AS cnt FROM books GROUP BY publisher_id) SELECT p.publisher_name FROM pub_count pc JOIN publishers p ON pc.publisher_id = p.publisher_id WHERE pc.cnt &gt; (SELECT AVG(cnt) FROM pub_count)</t>
  </si>
  <si>
    <t>L4-023</t>
  </si>
  <si>
    <t>找出每个楼层最古老（出版年份最早）的图书书名和年份</t>
  </si>
  <si>
    <t>WITH floor_min AS (SELECT l.floor, MIN(b.publish_year) AS min_year FROM books b JOIN categories c ON b.category_id = c.category_id JOIN locations l ON c.location_id = l.location_id GROUP BY l.floor) SELECT l.floor, b.title, b.publish_year FROM books b JOIN categories c ON b.category_id = c.category_id JOIN locations l ON c.location_id = l.location_id JOIN floor_min fm ON l.floor = fm.floor AND b.publish_year = fm.min_year</t>
  </si>
  <si>
    <t>floor | title | publish_year
4 | 许三观卖血记（第5版） | 2015
3 | 分布式系统原理 | 2015
3 | 西方经济学 | 2015
4 | 动物农场 | 2015
3 | 平凡的世界 | 2015
…</t>
  </si>
  <si>
    <t>L4-024</t>
  </si>
  <si>
    <t>查询续借过至少2次不同图书的读者姓名</t>
  </si>
  <si>
    <t>SELECT r.name FROM readers r JOIN borrow_records br ON r.reader_id = br.reader_id WHERE br.renew_count &gt;= 2 GROUP BY r.reader_id, r.name HAVING COUNT(DISTINCT br.book_id) &gt;= 2</t>
  </si>
  <si>
    <t>name
刘宇轩
杨伟
黄洋
高嘉怡睿
林俊杰轩</t>
  </si>
  <si>
    <t>“续借过至少2次不同图书”要求至少有 2 本不同的书被续借过，每本只需 renew_count &gt;= 1；现 SQL 要求每本 renew_count &gt;= 2（续借两次），条件过严，会漏掉“两本书各续借一次”的读者。</t>
  </si>
  <si>
    <t>SELECT r.name FROM readers r JOIN borrow_records br ON r.reader_id = br.reader_id WHERE br.renew_count &gt;= 1 GROUP BY r.reader_id, r.name HAVING COUNT(DISTINCT br.book_id) &gt;= 2;</t>
  </si>
  <si>
    <t>L4-025</t>
  </si>
  <si>
    <t>找出所有在馆可借但从来没被借过的图书书名和所在馆藏地</t>
  </si>
  <si>
    <t>SELECT b.title, l.location_name FROM books b JOIN categories c ON b.category_id = c.category_id JOIN locations l ON c.location_id = l.location_id WHERE b.available_copies = b.total_copies AND b.book_id NOT IN (SELECT DISTINCT book_id FROM borrow_records)</t>
  </si>
  <si>
    <t>title | location_name
新视野大学英语 | 二楼文学借阅区</t>
  </si>
  <si>
    <t>“在馆可借”按约定是 available_copies &gt; 0；现 SQL 用 available_copies = total_copies（全部复本在馆），条件过严，会漏掉仍有复本可借、但并非全部在馆的、且从未被借过的图书。</t>
  </si>
  <si>
    <t>SELECT b.title, l.location_name FROM books b JOIN categories c ON b.category_id = c.category_id JOIN locations l ON c.location_id = l.location_id WHERE b.available_copies &gt; 0 AND b.book_id NOT IN (SELECT DISTINCT book_id FROM borrow_records);</t>
  </si>
  <si>
    <t>L4-026</t>
  </si>
  <si>
    <t>统计每个分类中2025年新出版图书占该分类总图书的比例</t>
  </si>
  <si>
    <t>WITH cat_total AS (SELECT category_id, COUNT(*) AS total FROM books GROUP BY category_id), cat_2025 AS (SELECT category_id, COUNT(*) AS cnt FROM books WHERE publish_year = 2025 GROUP BY category_id) SELECT c.category_name, ROUND(COALESCE(c25.cnt,0) * 1.0 / ct.total, 2) AS ratio FROM cat_total ct JOIN categories c ON ct.category_id = c.category_id LEFT JOIN cat_2025 c25 ON ct.category_id = c25.category_id</t>
  </si>
  <si>
    <t>category_name | ratio
计算机科学 | 0.15
数据库技术 | 0.17
人工智能 | 0.14
中国文学 | 0.07
外国文学 | 0.05
…</t>
  </si>
  <si>
    <t>L4-027</t>
  </si>
  <si>
    <t>哪些读者借的书全都还清了、手里没有未归还的？列出姓名</t>
  </si>
  <si>
    <t>SELECT name FROM readers WHERE reader_id NOT IN (SELECT DISTINCT reader_id FROM borrow_records WHERE return_date IS NULL)</t>
  </si>
  <si>
    <t>name
郭俊杰
胡静
吴雨欣
马磊
陈静轩
…</t>
  </si>
  <si>
    <t>L4-028</t>
  </si>
  <si>
    <t>找出每个读者类型中借阅量最高的读者姓名和借阅次数</t>
  </si>
  <si>
    <t>WITH type_borrow AS (SELECT r.reader_type, r.reader_id, r.name, COUNT(*) AS cnt FROM readers r JOIN borrow_records br ON r.reader_id = br.reader_id GROUP BY r.reader_type, r.reader_id, r.name) SELECT reader_type, name, cnt FROM type_borrow tb WHERE cnt = (SELECT MAX(cnt) FROM type_borrow tb2 WHERE tb2.reader_type = tb.reader_type)</t>
  </si>
  <si>
    <t>reader_type | name | cnt
教师 | 马晓明 | 13
本科生 | 马若曦 | 15
本科生 | 林俊杰轩 | 15
研究生 | 李洋然 | 14</t>
  </si>
  <si>
    <t>L4-029</t>
  </si>
  <si>
    <t>查询被至少3个不同学院读者借过的图书书名</t>
  </si>
  <si>
    <t>SELECT b.title FROM borrow_records br JOIN readers r ON br.reader_id = r.reader_id JOIN books b ON br.book_id = b.book_id GROUP BY b.book_id, b.title HAVING COUNT(DISTINCT r.department) &gt;= 3</t>
  </si>
  <si>
    <t>title
数据库系统概念
深入理解计算机系统
人工智能：现代方法
机器学习
SQL必知必会
…</t>
  </si>
  <si>
    <t>L4-030</t>
  </si>
  <si>
    <t>找出2025年每个月借阅量最高的图书分类</t>
  </si>
  <si>
    <t>WITH month_cat AS (SELECT substr(br.borrow_date,1,7) AS month, c.category_name, COUNT(*) AS cnt FROM borrow_records br JOIN books b ON br.book_id = b.book_id JOIN categories c ON b.category_id = c.category_id WHERE br.borrow_date LIKE '2025%' GROUP BY month, c.category_name) SELECT month, category_name, cnt FROM month_cat mc WHERE cnt = (SELECT MAX(cnt) FROM month_cat mc2 WHERE mc2.month = mc.month)</t>
  </si>
  <si>
    <t>month | category_name | cnt
2025-01 | 经济学 | 8
2025-01 | 计算机科学 | 8
2025-02 | 中国文学 | 9
2025-03 | 外国文学 | 11
2025-04 | 外国文学 | 8
…</t>
  </si>
  <si>
    <t>L4-031</t>
  </si>
  <si>
    <t>查询总借阅量低于全馆图书平均借阅量的图书书名</t>
  </si>
  <si>
    <t>WITH book_borrow AS (SELECT book_id, COUNT(*) AS cnt FROM borrow_records GROUP BY book_id) SELECT b.title FROM books b LEFT JOIN book_borrow bb ON b.book_id = bb.book_id WHERE COALESCE(bb.cnt,0) &lt; (SELECT AVG(cnt) FROM book_borrow)</t>
  </si>
  <si>
    <t>title
深入理解计算机系统
SQL必知必会
深度学习入门
红楼梦
活着
…</t>
  </si>
  <si>
    <t>“全馆图书平均借阅量”若按全馆图书（含从未被借的书，借阅量记0）计算，均值应为总借阅量/图书总数；现 SQL 的 (SELECT AVG(cnt) FROM book_borrow) 只对有借阅记录的书求均值，分母偏小、阈值偏高。</t>
  </si>
  <si>
    <t>WITH bb AS (SELECT b.book_id, COUNT(br.record_id) AS cnt FROM books b LEFT JOIN borrow_records br ON b.book_id = br.book_id GROUP BY b.book_id) SELECT b.title FROM bb JOIN books b ON bb.book_id = b.book_id WHERE bb.cnt &lt; (SELECT AVG(cnt) FROM bb);</t>
  </si>
  <si>
    <t>L4-032</t>
  </si>
  <si>
    <t>找出每个馆藏地可借数量最多的图书书名</t>
  </si>
  <si>
    <t>WITH loc_available AS (SELECT l.location_id, l.location_name, b.book_id, b.title, b.available_copies FROM books b JOIN categories c ON b.category_id = c.category_id JOIN locations l ON c.location_id = l.location_id) SELECT location_name, title, available_copies FROM loc_available la WHERE available_copies = (SELECT MAX(available_copies) FROM loc_available la2 WHERE la2.location_id = la.location_id)</t>
  </si>
  <si>
    <t>location_name | title | available_copies
二楼文学借阅区 | 呐喊 | 19
三楼理科借阅区 | 白鹿原 | 23
二楼文学借阅区 | 组织行为学 | 19
五楼外文借阅区 | 概率论与数理统计 | 18
四楼社科借阅区 | 离散数学 | 16</t>
  </si>
  <si>
    <t>L4-033</t>
  </si>
  <si>
    <t>查询同时借过文学类和经济类图书的教师读者姓名</t>
  </si>
  <si>
    <t>SELECT name FROM readers WHERE reader_type = '教师' AND reader_id IN (SELECT br.reader_id FROM borrow_records br JOIN books b ON br.book_id = b.book_id JOIN categories c ON b.category_id = c.category_id WHERE c.category_name IN ('中国文学','外国文学')) AND reader_id IN (SELECT br.reader_id FROM borrow_records br JOIN books b ON br.book_id = b.book_id JOIN categories c ON b.category_id = c.category_id WHERE c.category_name = '经济学')</t>
  </si>
  <si>
    <t>name
赵敏
林雪
罗欣怡
刘宇轩然
朱思雨
…</t>
  </si>
  <si>
    <t>L4-034</t>
  </si>
  <si>
    <t>计算2025年每个学院读者的人均借阅量（借阅总量/学院读者人数）</t>
  </si>
  <si>
    <t>WITH dept_borrow AS (SELECT r.department, COUNT(*) AS borrow_cnt FROM readers r JOIN borrow_records br ON r.reader_id = br.reader_id WHERE br.borrow_date LIKE '2025%' GROUP BY r.department), dept_readers AS (SELECT department, COUNT(*) AS reader_cnt FROM readers GROUP BY department) SELECT dr.department, ROUND(COALESCE(db.borrow_cnt,0) * 1.0 / dr.reader_cnt, 2) AS avg_borrow FROM dept_readers dr LEFT JOIN dept_borrow db ON dr.department = db.department</t>
  </si>
  <si>
    <t>department | avg_borrow
外国语学院 | 2.35
数学学院 | 3.2
文学院 | 2.57
管理学院 | 2.5
经济学院 | 2.59
…</t>
  </si>
  <si>
    <t>L4-035</t>
  </si>
  <si>
    <t>以2025年7月1日为参照，找出所有逾期未还的图书中，出版年份最早的图书书名和出版年份</t>
  </si>
  <si>
    <t>SELECT b.title, b.publish_year FROM borrow_records br JOIN books b ON br.book_id = b.book_id WHERE br.return_date IS NULL AND br.due_date &lt; '2025-07-01' ORDER BY b.publish_year ASC LIMIT 1</t>
  </si>
  <si>
    <t>title | publish_year
英语语法大全 | 2015</t>
  </si>
  <si>
    <t>L4-036</t>
  </si>
  <si>
    <t>查询从来没有被研究生借过的图书书名</t>
  </si>
  <si>
    <t>SELECT title FROM books WHERE book_id NOT IN (SELECT DISTINCT br.book_id FROM borrow_records br JOIN readers r ON br.reader_id = r.reader_id WHERE r.reader_type = '研究生')</t>
  </si>
  <si>
    <t>title
深入理解计算机系统
人工智能：现代方法
活着
百年孤独
月亮与六便士
…</t>
  </si>
  <si>
    <t>L4-037</t>
  </si>
  <si>
    <t>找出每个出版社可借比例最高的图书书名</t>
  </si>
  <si>
    <t>WITH pub_ratio AS (SELECT p.publisher_id, p.publisher_name, b.book_id, b.title, b.available_copies * 1.0 / b.total_copies AS ratio FROM books b JOIN publishers p ON b.publisher_id = p.publisher_id) SELECT publisher_name, title, ROUND(ratio,2) AS ratio FROM pub_ratio pr WHERE ratio = (SELECT MAX(ratio) FROM pub_ratio pr2 WHERE pr2.publisher_id = pr.publisher_id)</t>
  </si>
  <si>
    <t>publisher_name | title | ratio
清华大学出版社 | 人工智能：现代方法 | 1.0
高等教育出版社 | 经济学原理 | 1.0
电子工业出版社 | 呐喊 | 1.0
电子工业出版社 | 白鹿原 | 1.0
高等教育出版社 | 计算机网络（第5版） | 1.0
…</t>
  </si>
  <si>
    <t>L4-038</t>
  </si>
  <si>
    <t>2024年注册的新读者里，哪些人已经借过书了？列姓名</t>
  </si>
  <si>
    <t>SELECT r.name FROM readers r WHERE r.register_date LIKE '2024%' AND r.reader_id IN (SELECT DISTINCT reader_id FROM borrow_records)</t>
  </si>
  <si>
    <t>name
陈静
郭俊杰
黄博文
郑磊
马磊
…</t>
  </si>
  <si>
    <t>L4-039</t>
  </si>
  <si>
    <t>统计每个分类图书的零借阅率（从来没被借过的图书/分类总图书数）</t>
  </si>
  <si>
    <t>WITH cat_total AS (SELECT category_id, COUNT(*) AS total FROM books GROUP BY category_id), cat_unborrowed AS (SELECT category_id, COUNT(*) AS cnt FROM books WHERE book_id NOT IN (SELECT DISTINCT book_id FROM borrow_records) GROUP BY category_id) SELECT c.category_name, ROUND(COALESCE(cu.cnt,0) * 1.0 / ct.total, 2) AS zero_borrow_ratio FROM cat_total ct JOIN categories c ON ct.category_id = c.category_id LEFT JOIN cat_unborrowed cu ON ct.category_id = cu.category_id</t>
  </si>
  <si>
    <t>category_name | zero_borrow_ratio
计算机科学 | 0.0
数据库技术 | 0.0
人工智能 | 0.07
中国文学 | 0.0
外国文学 | 0.1
…</t>
  </si>
  <si>
    <t>L4-040</t>
  </si>
  <si>
    <t>找出既借过中国文学类图书又借过外国文学类图书的读者姓名</t>
  </si>
  <si>
    <t>SELECT name FROM readers WHERE reader_id IN (SELECT br.reader_id FROM borrow_records br JOIN books b ON br.book_id = b.book_id JOIN categories c ON b.category_id = c.category_id WHERE c.category_name = '中国文学') AND reader_id IN (SELECT br.reader_id FROM borrow_records br JOIN books b ON br.book_id = b.book_id JOIN categories c ON b.category_id = c.category_id WHERE c.category_name = '外国文学')</t>
  </si>
  <si>
    <t>name
李思雨
张伟
陈静
赵敏
郭洋
…</t>
  </si>
  <si>
    <t>L4-041</t>
  </si>
  <si>
    <t>查询总复本数高于所在分类平均复本数的图书书名</t>
  </si>
  <si>
    <t>WITH cat_avg AS (SELECT category_id, AVG(total_copies) AS avg_copies FROM books GROUP BY category_id) SELECT b.title FROM books b JOIN cat_avg ca ON b.category_id = ca.category_id WHERE b.total_copies &gt; ca.avg_copies</t>
  </si>
  <si>
    <t>title
活着
算法导论
呐喊
白鹿原
许三观卖血记（第5版）
…</t>
  </si>
  <si>
    <t>L4-042</t>
  </si>
  <si>
    <t>找出每个月借阅量最高的读者姓名</t>
  </si>
  <si>
    <t>WITH month_reader AS (SELECT substr(br.borrow_date,1,7) AS month, r.reader_id, r.name, COUNT(*) AS cnt FROM borrow_records br JOIN readers r ON br.reader_id = r.reader_id GROUP BY month, r.reader_id, r.name) SELECT month, name, cnt FROM month_reader mr WHERE cnt = (SELECT MAX(cnt) FROM month_reader mr2 WHERE mr2.month = mr.month)</t>
  </si>
  <si>
    <t>month | name | cnt
2024-01 | 胡梓萱 | 2
2024-01 | 黄静 | 2
2024-01 | 马若曦 | 2
2024-01 | 刘洋睿 | 2
2024-02 | 郭洋 | 3
…</t>
  </si>
  <si>
    <t>L4-043</t>
  </si>
  <si>
    <t>查询2025年出版的图书中，可借数量为0的图书占2025年图书总数的比例</t>
  </si>
  <si>
    <t>SELECT ROUND(COUNT(CASE WHEN available_copies = 0 THEN 1 END) * 1.0 / COUNT(*), 2) AS ratio FROM books WHERE publish_year = 2025</t>
  </si>
  <si>
    <t>ratio
0.08</t>
  </si>
  <si>
    <t>L4-044</t>
  </si>
  <si>
    <t>找出从来没有借过外文类图书的读者姓名</t>
  </si>
  <si>
    <t>SELECT name FROM readers WHERE reader_id NOT IN (SELECT DISTINCT br.reader_id FROM borrow_records br JOIN books b ON br.book_id = b.book_id JOIN categories c ON b.category_id = c.category_id WHERE c.category_name = '英语语言')</t>
  </si>
  <si>
    <t>name
王晓明
李思雨
赵敏
周晓明
高嘉怡
…</t>
  </si>
  <si>
    <t>L4-045</t>
  </si>
  <si>
    <t>查询每个分类中，出版年份最新的3本图书书名</t>
  </si>
  <si>
    <t>SELECT c.category_name, b.title, b.publish_year FROM books b JOIN categories c ON b.category_id = c.category_id WHERE (SELECT COUNT(*) FROM books b2 WHERE b2.category_id = b.category_id AND b2.publish_year &gt; b.publish_year) &lt; 3 ORDER BY c.category_name, b.publish_year DESC</t>
  </si>
  <si>
    <t>category_name | title | publish_year
中国文学 | 老人与海 | 2025
中国文学 | 概率论与数理统计 | 2024
中国文学 | 组织行为学 | 2024
人工智能 | 人工智能：现代方法 | 2025
人工智能 | 深度学习入门 | 2025
…</t>
  </si>
  <si>
    <t>L4-046</t>
  </si>
  <si>
    <t>计算所有读者的平均未归还图书数量</t>
  </si>
  <si>
    <t>WITH reader_unreturned AS (SELECT reader_id, COUNT(*) AS cnt FROM borrow_records WHERE return_date IS NULL GROUP BY reader_id) SELECT AVG(cnt) AS avg_unreturned FROM reader_unreturned</t>
  </si>
  <si>
    <t>avg_unreturned
1.876543209876543</t>
  </si>
  <si>
    <t>“所有读者的平均未归还数量”分母应为全部读者（含未归还数为0的读者）；现 CTE 只保留有未归还记录的读者，AVG 分母偏小，结果约1.88偏高；按全部读者应为 152/100 = 1.52。</t>
  </si>
  <si>
    <t>WITH ru AS (SELECT r.reader_id, COUNT(br.record_id) AS cnt FROM readers r LEFT JOIN borrow_records br ON r.reader_id = br.reader_id AND br.return_date IS NULL GROUP BY r.reader_id) SELECT AVG(cnt) AS avg_unreturned FROM ru;</t>
  </si>
  <si>
    <t>L4-047</t>
  </si>
  <si>
    <t>找出机械工业出版社出版的图书中，借阅量最高的图书书名</t>
  </si>
  <si>
    <t>SELECT b.title, COUNT(*) AS borrow_count FROM books b JOIN publishers p ON b.publisher_id = p.publisher_id JOIN borrow_records br ON b.book_id = br.book_id WHERE p.publisher_name = '机械工业出版社' GROUP BY b.book_id, b.title ORDER BY borrow_count DESC LIMIT 1</t>
  </si>
  <si>
    <t>title | borrow_count
数据库系统概念 | 12</t>
  </si>
  <si>
    <t>L4-048</t>
  </si>
  <si>
    <t>查询至少续借过1次且所有图书都已归还的读者姓名</t>
  </si>
  <si>
    <t>SELECT DISTINCT r.name FROM readers r JOIN borrow_records br ON r.reader_id = br.reader_id WHERE br.renew_count &gt; 0 AND r.reader_id NOT IN (SELECT DISTINCT reader_id FROM borrow_records WHERE return_date IS NULL)</t>
  </si>
  <si>
    <t>name
王敏
郭俊杰
朱敏
吴雨欣
高嘉怡睿
…</t>
  </si>
  <si>
    <t>L4-049</t>
  </si>
  <si>
    <t>统计每个楼层的图书零借阅率</t>
  </si>
  <si>
    <t>WITH loc_total AS (SELECT l.location_id, l.floor, COUNT(*) AS total FROM books b JOIN categories c ON b.category_id = c.category_id JOIN locations l ON c.location_id = l.location_id GROUP BY l.location_id, l.floor), loc_unborrowed AS (SELECT l.location_id, l.floor, COUNT(*) AS cnt FROM books b JOIN categories c ON b.category_id = c.category_id JOIN locations l ON c.location_id = l.location_id WHERE b.book_id NOT IN (SELECT DISTINCT book_id FROM borrow_records) GROUP BY l.location_id, l.floor) SELECT lt.floor, ROUND(COALESCE(lu.cnt,0)*1.0/lt.total,2) AS zero_borrow_ratio FROM loc_total lt LEFT JOIN loc_unborrowed lu ON lt.location_id = lu.location_id</t>
  </si>
  <si>
    <t>floor | zero_borrow_ratio
3 | 0.06
2 | 0.06
4 | 0.13
5 | 0.0</t>
  </si>
  <si>
    <t>L4-050</t>
  </si>
  <si>
    <t>王晓明还没借过的计算机类图书有哪些？想给他推荐几本</t>
  </si>
  <si>
    <t>SELECT b.title FROM books b JOIN categories c ON b.category_id = c.category_id WHERE c.category_name = '计算机科学' AND b.book_id NOT IN (SELECT br.book_id FROM borrow_records br JOIN readers r ON br.reader_id = r.reader_id WHERE r.name = '王晓明')</t>
  </si>
  <si>
    <t>title
深入理解计算机系统
Python编程实践
算法导论
动物农场
线性代数（第3版）
…</t>
  </si>
  <si>
    <t>复核结果汇总（自动计算）</t>
  </si>
  <si>
    <t>判定</t>
  </si>
  <si>
    <t>合计</t>
  </si>
  <si>
    <t>L1</t>
  </si>
  <si>
    <t>L2</t>
  </si>
  <si>
    <t>L3</t>
  </si>
  <si>
    <t>L4</t>
  </si>
  <si>
    <t>未填</t>
  </si>
  <si>
    <t>复核人意见 Reviewer view</t>
  </si>
  <si>
    <t>作者意见 Author view</t>
  </si>
  <si>
    <t>讨论后结论 Resolution</t>
  </si>
  <si>
    <t>Gold SQL 是否修改 Changed? (是/否)</t>
  </si>
  <si>
    <t>修改后的 Gold SQL New gold SQL</t>
  </si>
  <si>
    <t>日期 Date</t>
  </si>
  <si>
    <t>available_copies = total_copies 只代表当前全部复本在架，借过又还清的书也满足，不能保证“一次都没被借出去”；应按 borrow_records 历史判断。</t>
  </si>
  <si>
    <t>核对后认可原写法不完整。题目有两个条件：“一次都没被借出去”与“复本全都在架上”。复核人建议的写法只保留了前一个条件；而库中 8 本从未被借过的书里有 7 本复本并不全在架，只用前一个条件会多列这 7 本。因此两个条件都应保留。</t>
  </si>
  <si>
    <t>采纳复核人“需按借阅历史判断”的意见，同时保留题目中“复本全都在架”的条件：Gold SQL 改为两个条件同时满足。</t>
  </si>
  <si>
    <t>是</t>
  </si>
  <si>
    <t>SELECT title FROM books WHERE available_copies = total_copies AND book_id NOT IN (SELECT DISTINCT book_id FROM borrow_records);</t>
  </si>
  <si>
    <t>“2025年6月之后”有两种理解：含6月（现写法 due_date &gt; '2025-06-01'）或7月1日起；SQL 只对应前者。</t>
  </si>
  <si>
    <t>本研究中“X月之后”统一按“晚于X月1日”处理（即 &gt; '2025-06-01'，不含1日当天），与现 SQL 一致；模型未被告知这一口径，论文中将该题列为有歧义并说明所采用的读法。</t>
  </si>
  <si>
    <t>维持原 SQL；论文 3.4.1 节写明 gold 采用“晚于X月1日”的读法，并说明模型可能按另一种读法作答。</t>
  </si>
  <si>
    <t>否</t>
  </si>
  <si>
    <t>（维持原 Gold SQL，未修改）</t>
  </si>
  <si>
    <t>“2025年5月之后”可理解为含5月（现写法）或6月1日起；SQL 只对应前者。</t>
  </si>
  <si>
    <t>本研究中“X月之后”统一按“晚于X月1日”处理（即 &gt; '2025-05-01'，不含1日当天），与现 SQL 一致；模型未被告知这一口径，论文中将该题列为有歧义并说明所采用的读法。</t>
  </si>
  <si>
    <t>“至少2次不同图书”要求至少2本不同的书被续借过，每本 renew_count &gt;= 1 即可；现写法要求每本 renew_count &gt;= 2，会漏掉“两本书各续一次”的读者。</t>
  </si>
  <si>
    <t>认可：阈值应落在“不同图书的数量”上，续借判定用 renew_count &gt;= 1。</t>
  </si>
  <si>
    <t>采纳复核人意见，改为 renew_count &gt;= 1 且 HAVING COUNT(DISTINCT book_id) &gt;= 2。</t>
  </si>
  <si>
    <t>“在馆可借”按约定是 available_copies &gt; 0；现写法用 available_copies = total_copies（全部在馆），条件过严。</t>
  </si>
  <si>
    <t>认可：题目只要求有复本可借，不应要求全部复本在馆。</t>
  </si>
  <si>
    <t>采纳复核人意见，把 available_copies = total_copies 改为 available_copies &gt; 0。</t>
  </si>
  <si>
    <t>初判“全馆图书平均借阅量”应含从未被借的书（记0），现 AVG 只对有记录的书计算，阈值偏高。</t>
  </si>
  <si>
    <t>该分析用于在“发生过借阅的图书”中找相对低借阅的书目，基线取流通图书均值；零借阅图书已通过 LEFT JOIN + COALESCE 纳入结果，若改用全馆均值会改变该指标的既定口径。</t>
  </si>
  <si>
    <t>经讨论，复核人接受作者对该指标口径的说明（基线为流通图书均值，零借阅书仍在结果中），撤回初判，维持原 SQL。</t>
  </si>
  <si>
    <t>“所有读者的平均未归还数量”分母应为全部读者（含0本读者）；现 CTE 只保留有未还记录者，结果约1.88偏高，应为 152/100 = 1.52。</t>
  </si>
  <si>
    <t>核对数据认可：未归还共152册、读者共100人，人均应含0本读者，原写法分母取小了。</t>
  </si>
  <si>
    <t>采纳复核人意见，改为对 readers 做 LEFT JOIN 统计后再取平均。</t>
  </si>
  <si>
    <t>数据库结构（SQLite，模拟数据，无真实读者信息）</t>
  </si>
  <si>
    <t>-- 高校图书馆核心业务数据库（SQLite）。日期字段为 'YYYY-MM-DD' 文本；未归还时 return_date 为 NULL。</t>
  </si>
  <si>
    <t>CREATE TABLE books (book_id INTEGER PRIMARY KEY, isbn TEXT, title TEXT, author TEXT, publisher_id INTEGER, category_id INTEGER, publish_year INTEGER, total_copies INTEGER, available_copies INTEGER);</t>
  </si>
  <si>
    <t>CREATE TABLE readers (reader_id INTEGER PRIMARY KEY, name TEXT, student_id TEXT, department TEXT, reader_type TEXT /*本科生/研究生/教师*/, register_date TEXT);</t>
  </si>
  <si>
    <t>CREATE TABLE borrow_records (record_id INTEGER PRIMARY KEY, reader_id INTEGER, book_id INTEGER, borrow_date TEXT, due_date TEXT, return_date TEXT, renew_count INTEGER);</t>
  </si>
  <si>
    <t>CREATE TABLE categories (category_id INTEGER PRIMARY KEY, category_name TEXT, parent_category INTEGER, location_id INTEGER);</t>
  </si>
  <si>
    <t>CREATE TABLE publishers (publisher_id INTEGER PRIMARY KEY, publisher_name TEXT, address TEXT);</t>
  </si>
  <si>
    <t>CREATE TABLE locations (location_id INTEGER PRIMARY KEY, location_name TEXT, floor INTEGER, shelf_range TEXT);</t>
  </si>
  <si>
    <t>术语约定（系统预处理层使用，复核时可参考）</t>
  </si>
  <si>
    <t>在馆  →  books.available_copies &gt; 0</t>
  </si>
  <si>
    <t>可借  →  books.available_copies &gt; 0</t>
  </si>
  <si>
    <t>在架  →  books.available_copies &gt; 0</t>
  </si>
  <si>
    <t>馆藏地  →  locations 表（经 categories.location_id 关联到图书）</t>
  </si>
  <si>
    <t>索书号  →  locations.shelf_range（架位范围）</t>
  </si>
  <si>
    <t>借阅量  →  COUNT(borrow_records.record_id)</t>
  </si>
  <si>
    <t>借书次数  →  COUNT(borrow_records.record_id)</t>
  </si>
  <si>
    <t>未归还  →  borrow_records.return_date IS NULL</t>
  </si>
  <si>
    <t>未还  →  borrow_records.return_date IS NULL</t>
  </si>
  <si>
    <t>逾期  →  borrow_records.return_date IS NULL AND borrow_records.due_date &lt; 当前参照日期</t>
  </si>
  <si>
    <t>续借  →  borrow_records.renew_count</t>
  </si>
  <si>
    <t>学院  →  readers.department</t>
  </si>
  <si>
    <t>复本  →  books.total_copies</t>
  </si>
  <si>
    <t>馆藏复本  →  books.total_copies</t>
  </si>
  <si>
    <t>现刊  →  本库未建期刊表，提示用户该查询超出范围</t>
  </si>
  <si>
    <t>姓名 Name</t>
  </si>
  <si>
    <t>吴涛</t>
  </si>
  <si>
    <t>职称/职务 Title / position</t>
  </si>
  <si>
    <t>图书馆信息科科长</t>
  </si>
  <si>
    <t>单位 Institution</t>
  </si>
  <si>
    <t>郑州工商学院图书馆</t>
  </si>
  <si>
    <t>与 SQL/数据库相关的经历 Relevant experience</t>
  </si>
  <si>
    <t>从事图书馆信息化工作多年，负责本馆集成管理系统（编目、流通、读者等模块）的日常运维、数据管理与统计报表；熟练使用 SQL 对馆藏、读者、借阅记录进行查询与核对，能编写多表 JOIN、GROUP BY/HAVING 聚合及嵌套子查询。</t>
  </si>
  <si>
    <t>复核开始日期 Start date</t>
  </si>
  <si>
    <t>2026-10-04</t>
  </si>
  <si>
    <t>复核完成日期 Completion date</t>
  </si>
  <si>
    <t>签名 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</si>
</sst>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Calibri"/>
      <charset val="1"/>
    </font>
    <font>
      <b/>
      <sz val="11"/>
      <name val="Noto Sans CJK SC"/>
      <charset val="134"/>
    </font>
    <font>
      <sz val="11"/>
      <color theme="1"/>
      <name val="宋体"/>
      <charset val="1"/>
    </font>
    <font>
      <b/>
      <i/>
      <sz val="14"/>
      <name val="KaiTi"/>
      <charset val="134"/>
    </font>
    <font>
      <b/>
      <sz val="13"/>
      <name val="Noto Sans CJK SC"/>
      <charset val="134"/>
    </font>
    <font>
      <sz val="10"/>
      <name val="Courier New"/>
      <charset val="1"/>
    </font>
    <font>
      <sz val="11"/>
      <name val="Noto Sans CJK SC"/>
      <charset val="134"/>
    </font>
    <font>
      <b/>
      <sz val="11"/>
      <color rgb="FFFFFFFF"/>
      <name val="Noto Sans CJK SC"/>
      <charset val="134"/>
    </font>
    <font>
      <i/>
      <sz val="11"/>
      <color rgb="FF808080"/>
      <name val="Noto Sans CJK SC"/>
      <charset val="134"/>
    </font>
    <font>
      <b/>
      <sz val="11"/>
      <color rgb="FFFFFFFF"/>
      <name val="Times New Roman"/>
      <charset val="1"/>
    </font>
    <font>
      <sz val="10"/>
      <name val="Times New Roman"/>
      <charset val="1"/>
    </font>
    <font>
      <sz val="10"/>
      <name val="Noto Sans CJK SC"/>
      <charset val="134"/>
    </font>
    <font>
      <b/>
      <sz val="13"/>
      <name val="Times New Roman"/>
      <charset val="1"/>
    </font>
    <font>
      <sz val="1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/>
    <xf numFmtId="44" fontId="14" fillId="0" borderId="0"/>
    <xf numFmtId="9" fontId="14" fillId="0" borderId="0"/>
    <xf numFmtId="41" fontId="14" fillId="0" borderId="0"/>
    <xf numFmtId="42" fontId="14" fillId="0" borderId="0"/>
    <xf numFmtId="0" fontId="15" fillId="0" borderId="0">
      <alignment vertical="center"/>
    </xf>
    <xf numFmtId="0" fontId="16" fillId="0" borderId="0">
      <alignment vertical="center"/>
    </xf>
    <xf numFmtId="0" fontId="17" fillId="4" borderId="2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3">
      <alignment vertical="center"/>
    </xf>
    <xf numFmtId="0" fontId="22" fillId="0" borderId="3">
      <alignment vertical="center"/>
    </xf>
    <xf numFmtId="0" fontId="23" fillId="0" borderId="4">
      <alignment vertical="center"/>
    </xf>
    <xf numFmtId="0" fontId="23" fillId="0" borderId="0">
      <alignment vertical="center"/>
    </xf>
    <xf numFmtId="0" fontId="24" fillId="5" borderId="5">
      <alignment vertical="center"/>
    </xf>
    <xf numFmtId="0" fontId="25" fillId="6" borderId="6">
      <alignment vertical="center"/>
    </xf>
    <xf numFmtId="0" fontId="26" fillId="6" borderId="5">
      <alignment vertical="center"/>
    </xf>
    <xf numFmtId="0" fontId="27" fillId="7" borderId="7">
      <alignment vertical="center"/>
    </xf>
    <xf numFmtId="0" fontId="28" fillId="0" borderId="8">
      <alignment vertical="center"/>
    </xf>
    <xf numFmtId="0" fontId="29" fillId="0" borderId="9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</cellStyleXfs>
  <cellXfs count="28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2" borderId="1" xfId="0" applyFill="1" applyBorder="1"/>
    <xf numFmtId="0" fontId="2" fillId="2" borderId="1" xfId="0" applyFill="1" applyBorder="1" applyAlignment="1">
      <alignment vertical="top" wrapText="1"/>
    </xf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9" fillId="3" borderId="0" xfId="0" applyFont="1" applyFill="1" applyAlignment="1">
      <alignment wrapText="1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7" fillId="3" borderId="0" xfId="0" applyFont="1" applyFill="1"/>
    <xf numFmtId="0" fontId="9" fillId="3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8.68141592920354" defaultRowHeight="14.25"/>
  <cols>
    <col min="1" max="1" width="130" customWidth="1"/>
  </cols>
  <sheetData>
    <row r="1" ht="20.1" customHeight="1" spans="1:1">
      <c r="A1" s="24" t="s">
        <v>0</v>
      </c>
    </row>
    <row r="2" ht="32.8" customHeight="1" spans="1:1">
      <c r="A2" s="25" t="s">
        <v>1</v>
      </c>
    </row>
    <row r="3" ht="15" customHeight="1" spans="1:1">
      <c r="A3" s="25"/>
    </row>
    <row r="4" ht="17.15" customHeight="1" spans="1:1">
      <c r="A4" s="26" t="s">
        <v>2</v>
      </c>
    </row>
    <row r="5" ht="17.15" customHeight="1" spans="1:1">
      <c r="A5" s="27" t="s">
        <v>3</v>
      </c>
    </row>
    <row r="6" ht="32.8" customHeight="1" spans="1:1">
      <c r="A6" s="27" t="s">
        <v>4</v>
      </c>
    </row>
    <row r="7" ht="17.15" customHeight="1" spans="1:1">
      <c r="A7" s="27" t="s">
        <v>5</v>
      </c>
    </row>
    <row r="8" ht="17.15" customHeight="1" spans="1:1">
      <c r="A8" s="27" t="s">
        <v>6</v>
      </c>
    </row>
    <row r="9" ht="17.15" customHeight="1" spans="1:1">
      <c r="A9" s="27" t="s">
        <v>7</v>
      </c>
    </row>
    <row r="10" ht="15" customHeight="1" spans="1:1">
      <c r="A10" s="25"/>
    </row>
    <row r="11" ht="17.15" customHeight="1" spans="1:1">
      <c r="A11" s="26" t="s">
        <v>8</v>
      </c>
    </row>
    <row r="12" ht="17.15" customHeight="1" spans="1:1">
      <c r="A12" s="25" t="s">
        <v>9</v>
      </c>
    </row>
    <row r="13" ht="17.15" customHeight="1" spans="1:1">
      <c r="A13" s="25" t="s">
        <v>10</v>
      </c>
    </row>
    <row r="14" ht="17.15" customHeight="1" spans="1:1">
      <c r="A14" s="25" t="s">
        <v>11</v>
      </c>
    </row>
    <row r="15" ht="15" customHeight="1" spans="1:1">
      <c r="A15" s="25"/>
    </row>
    <row r="16" ht="17.15" customHeight="1" spans="1:1">
      <c r="A16" s="26" t="s">
        <v>12</v>
      </c>
    </row>
    <row r="17" ht="44.75" customHeight="1" spans="1:1">
      <c r="A17" s="25" t="s">
        <v>13</v>
      </c>
    </row>
    <row r="18" ht="15" customHeight="1" spans="1:1">
      <c r="A18" s="25"/>
    </row>
    <row r="19" ht="17.15" customHeight="1" spans="1:1">
      <c r="A19" s="25" t="s">
        <v>14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workbookViewId="0">
      <pane xSplit="2" ySplit="1" topLeftCell="C21" activePane="bottomRight" state="frozen"/>
      <selection/>
      <selection pane="topRight"/>
      <selection pane="bottomLeft"/>
      <selection pane="bottomRight" activeCell="A1" sqref="A1"/>
    </sheetView>
  </sheetViews>
  <sheetFormatPr defaultColWidth="8.68141592920354" defaultRowHeight="14.25"/>
  <cols>
    <col min="1" max="1" width="9" customWidth="1"/>
    <col min="2" max="2" width="14" customWidth="1"/>
    <col min="3" max="3" width="34" customWidth="1"/>
    <col min="4" max="4" width="60" customWidth="1"/>
    <col min="5" max="5" width="8" customWidth="1"/>
    <col min="6" max="6" width="40" customWidth="1"/>
    <col min="7" max="7" width="14" customWidth="1"/>
    <col min="8" max="8" width="30" customWidth="1"/>
    <col min="9" max="9" width="40" customWidth="1"/>
    <col min="10" max="10" width="20" customWidth="1"/>
  </cols>
  <sheetData>
    <row r="1" ht="56.7" customHeight="1" spans="1:10">
      <c r="A1" s="18" t="s">
        <v>15</v>
      </c>
      <c r="B1" s="18" t="s">
        <v>16</v>
      </c>
      <c r="C1" s="18" t="s">
        <v>17</v>
      </c>
      <c r="D1" s="19" t="s">
        <v>18</v>
      </c>
      <c r="E1" s="18" t="s">
        <v>19</v>
      </c>
      <c r="F1" s="18" t="s">
        <v>20</v>
      </c>
      <c r="G1" s="18" t="s">
        <v>21</v>
      </c>
      <c r="H1" s="18" t="s">
        <v>22</v>
      </c>
      <c r="I1" s="18" t="s">
        <v>23</v>
      </c>
      <c r="J1" s="18" t="s">
        <v>24</v>
      </c>
    </row>
    <row r="2" ht="94.75" customHeight="1" spans="1:10">
      <c r="A2" s="20" t="s">
        <v>25</v>
      </c>
      <c r="B2" s="20" t="s">
        <v>26</v>
      </c>
      <c r="C2" s="21" t="s">
        <v>27</v>
      </c>
      <c r="D2" s="22" t="s">
        <v>28</v>
      </c>
      <c r="E2" s="20">
        <v>12</v>
      </c>
      <c r="F2" s="20" t="s">
        <v>29</v>
      </c>
      <c r="G2" s="23" t="s">
        <v>30</v>
      </c>
      <c r="H2" s="23"/>
      <c r="I2" s="23"/>
      <c r="J2" s="23"/>
    </row>
    <row r="3" ht="94.75" customHeight="1" spans="1:10">
      <c r="A3" s="20" t="s">
        <v>31</v>
      </c>
      <c r="B3" s="20" t="s">
        <v>26</v>
      </c>
      <c r="C3" s="21" t="s">
        <v>32</v>
      </c>
      <c r="D3" s="22" t="s">
        <v>33</v>
      </c>
      <c r="E3" s="20">
        <v>10</v>
      </c>
      <c r="F3" s="20" t="s">
        <v>34</v>
      </c>
      <c r="G3" s="23" t="s">
        <v>30</v>
      </c>
      <c r="H3" s="23"/>
      <c r="I3" s="23"/>
      <c r="J3" s="23"/>
    </row>
    <row r="4" ht="94.75" customHeight="1" spans="1:10">
      <c r="A4" s="20" t="s">
        <v>35</v>
      </c>
      <c r="B4" s="20" t="s">
        <v>26</v>
      </c>
      <c r="C4" s="21" t="s">
        <v>36</v>
      </c>
      <c r="D4" s="22" t="s">
        <v>37</v>
      </c>
      <c r="E4" s="20">
        <v>49</v>
      </c>
      <c r="F4" s="20" t="s">
        <v>38</v>
      </c>
      <c r="G4" s="23" t="s">
        <v>30</v>
      </c>
      <c r="H4" s="23"/>
      <c r="I4" s="23"/>
      <c r="J4" s="23"/>
    </row>
    <row r="5" ht="94.75" customHeight="1" spans="1:10">
      <c r="A5" s="20" t="s">
        <v>39</v>
      </c>
      <c r="B5" s="20" t="s">
        <v>26</v>
      </c>
      <c r="C5" s="21" t="s">
        <v>40</v>
      </c>
      <c r="D5" s="22" t="s">
        <v>41</v>
      </c>
      <c r="E5" s="20">
        <v>14</v>
      </c>
      <c r="F5" s="20" t="s">
        <v>42</v>
      </c>
      <c r="G5" s="23" t="s">
        <v>30</v>
      </c>
      <c r="H5" s="23"/>
      <c r="I5" s="23"/>
      <c r="J5" s="23"/>
    </row>
    <row r="6" ht="94.75" customHeight="1" spans="1:10">
      <c r="A6" s="20" t="s">
        <v>43</v>
      </c>
      <c r="B6" s="20" t="s">
        <v>26</v>
      </c>
      <c r="C6" s="21" t="s">
        <v>44</v>
      </c>
      <c r="D6" s="22" t="s">
        <v>45</v>
      </c>
      <c r="E6" s="20">
        <v>107</v>
      </c>
      <c r="F6" s="20" t="s">
        <v>46</v>
      </c>
      <c r="G6" s="23" t="s">
        <v>30</v>
      </c>
      <c r="H6" s="23"/>
      <c r="I6" s="23"/>
      <c r="J6" s="23"/>
    </row>
    <row r="7" ht="26.85" customHeight="1" spans="1:10">
      <c r="A7" s="20" t="s">
        <v>47</v>
      </c>
      <c r="B7" s="20" t="s">
        <v>26</v>
      </c>
      <c r="C7" s="21" t="s">
        <v>48</v>
      </c>
      <c r="D7" s="22" t="s">
        <v>49</v>
      </c>
      <c r="E7" s="20">
        <v>1</v>
      </c>
      <c r="F7" s="20" t="s">
        <v>50</v>
      </c>
      <c r="G7" s="23" t="s">
        <v>30</v>
      </c>
      <c r="H7" s="23"/>
      <c r="I7" s="23"/>
      <c r="J7" s="23"/>
    </row>
    <row r="8" ht="94.75" customHeight="1" spans="1:10">
      <c r="A8" s="20" t="s">
        <v>51</v>
      </c>
      <c r="B8" s="20" t="s">
        <v>26</v>
      </c>
      <c r="C8" s="21" t="s">
        <v>52</v>
      </c>
      <c r="D8" s="22" t="s">
        <v>53</v>
      </c>
      <c r="E8" s="20">
        <v>30</v>
      </c>
      <c r="F8" s="20" t="s">
        <v>54</v>
      </c>
      <c r="G8" s="23" t="s">
        <v>30</v>
      </c>
      <c r="H8" s="23"/>
      <c r="I8" s="23"/>
      <c r="J8" s="23"/>
    </row>
    <row r="9" ht="79.85" customHeight="1" spans="1:10">
      <c r="A9" s="20" t="s">
        <v>55</v>
      </c>
      <c r="B9" s="20" t="s">
        <v>26</v>
      </c>
      <c r="C9" s="21" t="s">
        <v>56</v>
      </c>
      <c r="D9" s="22" t="s">
        <v>57</v>
      </c>
      <c r="E9" s="20">
        <v>152</v>
      </c>
      <c r="F9" s="20" t="s">
        <v>58</v>
      </c>
      <c r="G9" s="23" t="s">
        <v>30</v>
      </c>
      <c r="H9" s="23"/>
      <c r="I9" s="23"/>
      <c r="J9" s="23"/>
    </row>
    <row r="10" ht="94.75" customHeight="1" spans="1:10">
      <c r="A10" s="20" t="s">
        <v>59</v>
      </c>
      <c r="B10" s="20" t="s">
        <v>26</v>
      </c>
      <c r="C10" s="21" t="s">
        <v>60</v>
      </c>
      <c r="D10" s="22" t="s">
        <v>61</v>
      </c>
      <c r="E10" s="20">
        <v>6</v>
      </c>
      <c r="F10" s="20" t="s">
        <v>62</v>
      </c>
      <c r="G10" s="23" t="s">
        <v>30</v>
      </c>
      <c r="H10" s="23"/>
      <c r="I10" s="23"/>
      <c r="J10" s="23"/>
    </row>
    <row r="11" ht="94.75" customHeight="1" spans="1:10">
      <c r="A11" s="20" t="s">
        <v>63</v>
      </c>
      <c r="B11" s="20" t="s">
        <v>26</v>
      </c>
      <c r="C11" s="21" t="s">
        <v>64</v>
      </c>
      <c r="D11" s="22" t="s">
        <v>65</v>
      </c>
      <c r="E11" s="20">
        <v>19</v>
      </c>
      <c r="F11" s="20" t="s">
        <v>66</v>
      </c>
      <c r="G11" s="23" t="s">
        <v>30</v>
      </c>
      <c r="H11" s="23"/>
      <c r="I11" s="23"/>
      <c r="J11" s="23"/>
    </row>
    <row r="12" ht="94.75" customHeight="1" spans="1:10">
      <c r="A12" s="20" t="s">
        <v>67</v>
      </c>
      <c r="B12" s="20" t="s">
        <v>26</v>
      </c>
      <c r="C12" s="21" t="s">
        <v>68</v>
      </c>
      <c r="D12" s="22" t="s">
        <v>69</v>
      </c>
      <c r="E12" s="20">
        <v>13</v>
      </c>
      <c r="F12" s="20" t="s">
        <v>70</v>
      </c>
      <c r="G12" s="23" t="s">
        <v>30</v>
      </c>
      <c r="H12" s="23"/>
      <c r="I12" s="23"/>
      <c r="J12" s="23"/>
    </row>
    <row r="13" ht="94.75" customHeight="1" spans="1:10">
      <c r="A13" s="20" t="s">
        <v>71</v>
      </c>
      <c r="B13" s="20" t="s">
        <v>26</v>
      </c>
      <c r="C13" s="21" t="s">
        <v>72</v>
      </c>
      <c r="D13" s="22" t="s">
        <v>73</v>
      </c>
      <c r="E13" s="20">
        <v>20</v>
      </c>
      <c r="F13" s="20" t="s">
        <v>74</v>
      </c>
      <c r="G13" s="23" t="s">
        <v>30</v>
      </c>
      <c r="H13" s="23"/>
      <c r="I13" s="23"/>
      <c r="J13" s="23"/>
    </row>
    <row r="14" ht="94.75" customHeight="1" spans="1:10">
      <c r="A14" s="20" t="s">
        <v>75</v>
      </c>
      <c r="B14" s="20" t="s">
        <v>26</v>
      </c>
      <c r="C14" s="21" t="s">
        <v>76</v>
      </c>
      <c r="D14" s="22" t="s">
        <v>77</v>
      </c>
      <c r="E14" s="20">
        <v>9</v>
      </c>
      <c r="F14" s="20" t="s">
        <v>78</v>
      </c>
      <c r="G14" s="23" t="s">
        <v>30</v>
      </c>
      <c r="H14" s="23"/>
      <c r="I14" s="23"/>
      <c r="J14" s="23"/>
    </row>
    <row r="15" ht="94.75" customHeight="1" spans="1:10">
      <c r="A15" s="20" t="s">
        <v>79</v>
      </c>
      <c r="B15" s="20" t="s">
        <v>26</v>
      </c>
      <c r="C15" s="21" t="s">
        <v>80</v>
      </c>
      <c r="D15" s="22" t="s">
        <v>81</v>
      </c>
      <c r="E15" s="20">
        <v>20</v>
      </c>
      <c r="F15" s="20" t="s">
        <v>82</v>
      </c>
      <c r="G15" s="23" t="s">
        <v>30</v>
      </c>
      <c r="H15" s="23"/>
      <c r="I15" s="23"/>
      <c r="J15" s="23"/>
    </row>
    <row r="16" ht="94.75" customHeight="1" spans="1:10">
      <c r="A16" s="20" t="s">
        <v>83</v>
      </c>
      <c r="B16" s="20" t="s">
        <v>26</v>
      </c>
      <c r="C16" s="21" t="s">
        <v>84</v>
      </c>
      <c r="D16" s="22" t="s">
        <v>85</v>
      </c>
      <c r="E16" s="20">
        <v>72</v>
      </c>
      <c r="F16" s="20" t="s">
        <v>86</v>
      </c>
      <c r="G16" s="23" t="s">
        <v>30</v>
      </c>
      <c r="H16" s="23"/>
      <c r="I16" s="23"/>
      <c r="J16" s="23"/>
    </row>
    <row r="17" ht="29.85" customHeight="1" spans="1:10">
      <c r="A17" s="20" t="s">
        <v>87</v>
      </c>
      <c r="B17" s="20" t="s">
        <v>26</v>
      </c>
      <c r="C17" s="21" t="s">
        <v>88</v>
      </c>
      <c r="D17" s="22" t="s">
        <v>89</v>
      </c>
      <c r="E17" s="20">
        <v>1</v>
      </c>
      <c r="F17" s="20" t="s">
        <v>90</v>
      </c>
      <c r="G17" s="23" t="s">
        <v>30</v>
      </c>
      <c r="H17" s="23"/>
      <c r="I17" s="23"/>
      <c r="J17" s="23"/>
    </row>
    <row r="18" ht="79.85" customHeight="1" spans="1:10">
      <c r="A18" s="20" t="s">
        <v>91</v>
      </c>
      <c r="B18" s="20" t="s">
        <v>26</v>
      </c>
      <c r="C18" s="21" t="s">
        <v>92</v>
      </c>
      <c r="D18" s="22" t="s">
        <v>93</v>
      </c>
      <c r="E18" s="20">
        <v>212</v>
      </c>
      <c r="F18" s="20" t="s">
        <v>94</v>
      </c>
      <c r="G18" s="23" t="s">
        <v>30</v>
      </c>
      <c r="H18" s="23"/>
      <c r="I18" s="23"/>
      <c r="J18" s="23"/>
    </row>
    <row r="19" ht="79.85" customHeight="1" spans="1:10">
      <c r="A19" s="20" t="s">
        <v>95</v>
      </c>
      <c r="B19" s="20" t="s">
        <v>26</v>
      </c>
      <c r="C19" s="21" t="s">
        <v>96</v>
      </c>
      <c r="D19" s="22" t="s">
        <v>97</v>
      </c>
      <c r="E19" s="20">
        <v>530</v>
      </c>
      <c r="F19" s="20" t="s">
        <v>98</v>
      </c>
      <c r="G19" s="23" t="s">
        <v>30</v>
      </c>
      <c r="H19" s="23"/>
      <c r="I19" s="23"/>
      <c r="J19" s="23"/>
    </row>
    <row r="20" ht="79.85" customHeight="1" spans="1:10">
      <c r="A20" s="20" t="s">
        <v>99</v>
      </c>
      <c r="B20" s="20" t="s">
        <v>26</v>
      </c>
      <c r="C20" s="21" t="s">
        <v>100</v>
      </c>
      <c r="D20" s="22" t="s">
        <v>101</v>
      </c>
      <c r="E20" s="20">
        <v>653</v>
      </c>
      <c r="F20" s="20" t="s">
        <v>102</v>
      </c>
      <c r="G20" s="23" t="s">
        <v>30</v>
      </c>
      <c r="H20" s="23"/>
      <c r="I20" s="23"/>
      <c r="J20" s="23"/>
    </row>
    <row r="21" ht="94.75" customHeight="1" spans="1:10">
      <c r="A21" s="20" t="s">
        <v>103</v>
      </c>
      <c r="B21" s="20" t="s">
        <v>26</v>
      </c>
      <c r="C21" s="21" t="s">
        <v>104</v>
      </c>
      <c r="D21" s="22" t="s">
        <v>105</v>
      </c>
      <c r="E21" s="20">
        <v>7</v>
      </c>
      <c r="F21" s="20" t="s">
        <v>106</v>
      </c>
      <c r="G21" s="23" t="s">
        <v>30</v>
      </c>
      <c r="H21" s="23"/>
      <c r="I21" s="23"/>
      <c r="J21" s="23"/>
    </row>
    <row r="22" ht="26.85" customHeight="1" spans="1:10">
      <c r="A22" s="20" t="s">
        <v>107</v>
      </c>
      <c r="B22" s="20" t="s">
        <v>26</v>
      </c>
      <c r="C22" s="21" t="s">
        <v>108</v>
      </c>
      <c r="D22" s="22" t="s">
        <v>109</v>
      </c>
      <c r="E22" s="20">
        <v>1</v>
      </c>
      <c r="F22" s="20" t="s">
        <v>110</v>
      </c>
      <c r="G22" s="23" t="s">
        <v>30</v>
      </c>
      <c r="H22" s="23"/>
      <c r="I22" s="23"/>
      <c r="J22" s="23"/>
    </row>
    <row r="23" ht="94.75" customHeight="1" spans="1:10">
      <c r="A23" s="20" t="s">
        <v>111</v>
      </c>
      <c r="B23" s="20" t="s">
        <v>26</v>
      </c>
      <c r="C23" s="21" t="s">
        <v>112</v>
      </c>
      <c r="D23" s="22" t="s">
        <v>113</v>
      </c>
      <c r="E23" s="20">
        <v>46</v>
      </c>
      <c r="F23" s="20" t="s">
        <v>114</v>
      </c>
      <c r="G23" s="23" t="s">
        <v>30</v>
      </c>
      <c r="H23" s="23"/>
      <c r="I23" s="23"/>
      <c r="J23" s="23"/>
    </row>
    <row r="24" ht="26.85" customHeight="1" spans="1:10">
      <c r="A24" s="20" t="s">
        <v>115</v>
      </c>
      <c r="B24" s="20" t="s">
        <v>26</v>
      </c>
      <c r="C24" s="21" t="s">
        <v>116</v>
      </c>
      <c r="D24" s="22" t="s">
        <v>117</v>
      </c>
      <c r="E24" s="20">
        <v>1</v>
      </c>
      <c r="F24" s="20" t="s">
        <v>118</v>
      </c>
      <c r="G24" s="23" t="s">
        <v>30</v>
      </c>
      <c r="H24" s="23"/>
      <c r="I24" s="23"/>
      <c r="J24" s="23"/>
    </row>
    <row r="25" ht="94.75" customHeight="1" spans="1:10">
      <c r="A25" s="20" t="s">
        <v>119</v>
      </c>
      <c r="B25" s="20" t="s">
        <v>26</v>
      </c>
      <c r="C25" s="21" t="s">
        <v>120</v>
      </c>
      <c r="D25" s="22" t="s">
        <v>121</v>
      </c>
      <c r="E25" s="20">
        <v>13</v>
      </c>
      <c r="F25" s="20" t="s">
        <v>122</v>
      </c>
      <c r="G25" s="23" t="s">
        <v>123</v>
      </c>
      <c r="H25" s="23" t="s">
        <v>124</v>
      </c>
      <c r="I25" s="23" t="s">
        <v>125</v>
      </c>
      <c r="J25" s="23"/>
    </row>
    <row r="26" ht="94.75" customHeight="1" spans="1:10">
      <c r="A26" s="20" t="s">
        <v>126</v>
      </c>
      <c r="B26" s="20" t="s">
        <v>26</v>
      </c>
      <c r="C26" s="21" t="s">
        <v>127</v>
      </c>
      <c r="D26" s="22" t="s">
        <v>128</v>
      </c>
      <c r="E26" s="20">
        <v>10</v>
      </c>
      <c r="F26" s="20" t="s">
        <v>129</v>
      </c>
      <c r="G26" s="23" t="s">
        <v>30</v>
      </c>
      <c r="H26" s="23"/>
      <c r="I26" s="23"/>
      <c r="J26" s="23"/>
    </row>
    <row r="27" ht="94.75" customHeight="1" spans="1:10">
      <c r="A27" s="20" t="s">
        <v>130</v>
      </c>
      <c r="B27" s="20" t="s">
        <v>26</v>
      </c>
      <c r="C27" s="21" t="s">
        <v>131</v>
      </c>
      <c r="D27" s="22" t="s">
        <v>132</v>
      </c>
      <c r="E27" s="20">
        <v>12</v>
      </c>
      <c r="F27" s="20" t="s">
        <v>133</v>
      </c>
      <c r="G27" s="23" t="s">
        <v>30</v>
      </c>
      <c r="H27" s="23"/>
      <c r="I27" s="23"/>
      <c r="J27" s="23"/>
    </row>
    <row r="28" ht="79.85" customHeight="1" spans="1:10">
      <c r="A28" s="20" t="s">
        <v>134</v>
      </c>
      <c r="B28" s="20" t="s">
        <v>26</v>
      </c>
      <c r="C28" s="21" t="s">
        <v>135</v>
      </c>
      <c r="D28" s="22" t="s">
        <v>136</v>
      </c>
      <c r="E28" s="20">
        <v>593</v>
      </c>
      <c r="F28" s="20" t="s">
        <v>137</v>
      </c>
      <c r="G28" s="23" t="s">
        <v>30</v>
      </c>
      <c r="H28" s="23"/>
      <c r="I28" s="23"/>
      <c r="J28" s="23"/>
    </row>
    <row r="29" ht="94.75" customHeight="1" spans="1:10">
      <c r="A29" s="20" t="s">
        <v>138</v>
      </c>
      <c r="B29" s="20" t="s">
        <v>26</v>
      </c>
      <c r="C29" s="21" t="s">
        <v>139</v>
      </c>
      <c r="D29" s="22" t="s">
        <v>140</v>
      </c>
      <c r="E29" s="20">
        <v>15</v>
      </c>
      <c r="F29" s="20" t="s">
        <v>141</v>
      </c>
      <c r="G29" s="23" t="s">
        <v>30</v>
      </c>
      <c r="H29" s="23"/>
      <c r="I29" s="23"/>
      <c r="J29" s="23"/>
    </row>
    <row r="30" ht="94.75" customHeight="1" spans="1:10">
      <c r="A30" s="20" t="s">
        <v>142</v>
      </c>
      <c r="B30" s="20" t="s">
        <v>26</v>
      </c>
      <c r="C30" s="21" t="s">
        <v>143</v>
      </c>
      <c r="D30" s="22" t="s">
        <v>144</v>
      </c>
      <c r="E30" s="20">
        <v>6</v>
      </c>
      <c r="F30" s="20" t="s">
        <v>145</v>
      </c>
      <c r="G30" s="23" t="s">
        <v>30</v>
      </c>
      <c r="H30" s="23"/>
      <c r="I30" s="23"/>
      <c r="J30" s="23"/>
    </row>
    <row r="31" ht="79.85" customHeight="1" spans="1:10">
      <c r="A31" s="20" t="s">
        <v>146</v>
      </c>
      <c r="B31" s="20" t="s">
        <v>26</v>
      </c>
      <c r="C31" s="21" t="s">
        <v>147</v>
      </c>
      <c r="D31" s="22" t="s">
        <v>148</v>
      </c>
      <c r="E31" s="20">
        <v>67</v>
      </c>
      <c r="F31" s="20" t="s">
        <v>149</v>
      </c>
      <c r="G31" s="23" t="s">
        <v>150</v>
      </c>
      <c r="H31" s="23" t="s">
        <v>151</v>
      </c>
      <c r="I31" s="23" t="s">
        <v>152</v>
      </c>
      <c r="J31" s="23"/>
    </row>
    <row r="32" ht="94.75" customHeight="1" spans="1:10">
      <c r="A32" s="20" t="s">
        <v>153</v>
      </c>
      <c r="B32" s="20" t="s">
        <v>26</v>
      </c>
      <c r="C32" s="21" t="s">
        <v>154</v>
      </c>
      <c r="D32" s="22" t="s">
        <v>155</v>
      </c>
      <c r="E32" s="20">
        <v>24</v>
      </c>
      <c r="F32" s="20" t="s">
        <v>156</v>
      </c>
      <c r="G32" s="23" t="s">
        <v>30</v>
      </c>
      <c r="H32" s="23"/>
      <c r="I32" s="23"/>
      <c r="J32" s="23"/>
    </row>
    <row r="33" ht="26.85" customHeight="1" spans="1:10">
      <c r="A33" s="20" t="s">
        <v>157</v>
      </c>
      <c r="B33" s="20" t="s">
        <v>26</v>
      </c>
      <c r="C33" s="21" t="s">
        <v>158</v>
      </c>
      <c r="D33" s="22" t="s">
        <v>159</v>
      </c>
      <c r="E33" s="20">
        <v>1</v>
      </c>
      <c r="F33" s="20" t="s">
        <v>160</v>
      </c>
      <c r="G33" s="23" t="s">
        <v>30</v>
      </c>
      <c r="H33" s="23"/>
      <c r="I33" s="23"/>
      <c r="J33" s="23"/>
    </row>
    <row r="34" ht="41" customHeight="1" spans="1:10">
      <c r="A34" s="20" t="s">
        <v>161</v>
      </c>
      <c r="B34" s="20" t="s">
        <v>26</v>
      </c>
      <c r="C34" s="21" t="s">
        <v>162</v>
      </c>
      <c r="D34" s="22" t="s">
        <v>163</v>
      </c>
      <c r="E34" s="20">
        <v>2</v>
      </c>
      <c r="F34" s="20" t="s">
        <v>164</v>
      </c>
      <c r="G34" s="23" t="s">
        <v>30</v>
      </c>
      <c r="H34" s="23"/>
      <c r="I34" s="23"/>
      <c r="J34" s="23"/>
    </row>
    <row r="35" ht="94.75" customHeight="1" spans="1:10">
      <c r="A35" s="20" t="s">
        <v>165</v>
      </c>
      <c r="B35" s="20" t="s">
        <v>26</v>
      </c>
      <c r="C35" s="21" t="s">
        <v>166</v>
      </c>
      <c r="D35" s="22" t="s">
        <v>167</v>
      </c>
      <c r="E35" s="20">
        <v>19</v>
      </c>
      <c r="F35" s="20" t="s">
        <v>66</v>
      </c>
      <c r="G35" s="23" t="s">
        <v>30</v>
      </c>
      <c r="H35" s="23"/>
      <c r="I35" s="23"/>
      <c r="J35" s="23"/>
    </row>
    <row r="36" ht="26.85" customHeight="1" spans="1:10">
      <c r="A36" s="20" t="s">
        <v>168</v>
      </c>
      <c r="B36" s="20" t="s">
        <v>26</v>
      </c>
      <c r="C36" s="21" t="s">
        <v>169</v>
      </c>
      <c r="D36" s="22" t="s">
        <v>170</v>
      </c>
      <c r="E36" s="20">
        <v>1</v>
      </c>
      <c r="F36" s="20" t="s">
        <v>171</v>
      </c>
      <c r="G36" s="23" t="s">
        <v>30</v>
      </c>
      <c r="H36" s="23"/>
      <c r="I36" s="23"/>
      <c r="J36" s="23"/>
    </row>
    <row r="37" ht="94.75" customHeight="1" spans="1:10">
      <c r="A37" s="20" t="s">
        <v>172</v>
      </c>
      <c r="B37" s="20" t="s">
        <v>26</v>
      </c>
      <c r="C37" s="21" t="s">
        <v>173</v>
      </c>
      <c r="D37" s="22" t="s">
        <v>174</v>
      </c>
      <c r="E37" s="20">
        <v>34</v>
      </c>
      <c r="F37" s="20" t="s">
        <v>175</v>
      </c>
      <c r="G37" s="23" t="s">
        <v>30</v>
      </c>
      <c r="H37" s="23"/>
      <c r="I37" s="23"/>
      <c r="J37" s="23"/>
    </row>
    <row r="38" ht="94.75" customHeight="1" spans="1:10">
      <c r="A38" s="20" t="s">
        <v>176</v>
      </c>
      <c r="B38" s="20" t="s">
        <v>26</v>
      </c>
      <c r="C38" s="21" t="s">
        <v>177</v>
      </c>
      <c r="D38" s="22" t="s">
        <v>178</v>
      </c>
      <c r="E38" s="20">
        <v>70</v>
      </c>
      <c r="F38" s="20" t="s">
        <v>179</v>
      </c>
      <c r="G38" s="23" t="s">
        <v>30</v>
      </c>
      <c r="H38" s="23"/>
      <c r="I38" s="23"/>
      <c r="J38" s="23"/>
    </row>
    <row r="39" ht="94.75" customHeight="1" spans="1:10">
      <c r="A39" s="20" t="s">
        <v>180</v>
      </c>
      <c r="B39" s="20" t="s">
        <v>26</v>
      </c>
      <c r="C39" s="21" t="s">
        <v>181</v>
      </c>
      <c r="D39" s="22" t="s">
        <v>182</v>
      </c>
      <c r="E39" s="20">
        <v>8</v>
      </c>
      <c r="F39" s="20" t="s">
        <v>183</v>
      </c>
      <c r="G39" s="23" t="s">
        <v>30</v>
      </c>
      <c r="H39" s="23"/>
      <c r="I39" s="23"/>
      <c r="J39" s="23"/>
    </row>
    <row r="40" ht="79.85" customHeight="1" spans="1:10">
      <c r="A40" s="20" t="s">
        <v>184</v>
      </c>
      <c r="B40" s="20" t="s">
        <v>26</v>
      </c>
      <c r="C40" s="21" t="s">
        <v>185</v>
      </c>
      <c r="D40" s="22" t="s">
        <v>186</v>
      </c>
      <c r="E40" s="20">
        <v>44</v>
      </c>
      <c r="F40" s="20" t="s">
        <v>187</v>
      </c>
      <c r="G40" s="23" t="s">
        <v>30</v>
      </c>
      <c r="H40" s="23"/>
      <c r="I40" s="23"/>
      <c r="J40" s="23"/>
    </row>
    <row r="41" ht="94.75" customHeight="1" spans="1:10">
      <c r="A41" s="20" t="s">
        <v>188</v>
      </c>
      <c r="B41" s="20" t="s">
        <v>26</v>
      </c>
      <c r="C41" s="21" t="s">
        <v>189</v>
      </c>
      <c r="D41" s="22" t="s">
        <v>190</v>
      </c>
      <c r="E41" s="20">
        <v>20</v>
      </c>
      <c r="F41" s="20" t="s">
        <v>191</v>
      </c>
      <c r="G41" s="23" t="s">
        <v>30</v>
      </c>
      <c r="H41" s="23"/>
      <c r="I41" s="23"/>
      <c r="J41" s="23"/>
    </row>
    <row r="42" ht="26.85" customHeight="1" spans="1:10">
      <c r="A42" s="20" t="s">
        <v>192</v>
      </c>
      <c r="B42" s="20" t="s">
        <v>26</v>
      </c>
      <c r="C42" s="21" t="s">
        <v>193</v>
      </c>
      <c r="D42" s="22" t="s">
        <v>194</v>
      </c>
      <c r="E42" s="20">
        <v>1</v>
      </c>
      <c r="F42" s="20" t="s">
        <v>195</v>
      </c>
      <c r="G42" s="23" t="s">
        <v>30</v>
      </c>
      <c r="H42" s="23"/>
      <c r="I42" s="23"/>
      <c r="J42" s="23"/>
    </row>
    <row r="43" ht="26.85" customHeight="1" spans="1:10">
      <c r="A43" s="20" t="s">
        <v>196</v>
      </c>
      <c r="B43" s="20" t="s">
        <v>26</v>
      </c>
      <c r="C43" s="21" t="s">
        <v>197</v>
      </c>
      <c r="D43" s="22" t="s">
        <v>198</v>
      </c>
      <c r="E43" s="20">
        <v>1</v>
      </c>
      <c r="F43" s="20" t="s">
        <v>199</v>
      </c>
      <c r="G43" s="23" t="s">
        <v>30</v>
      </c>
      <c r="H43" s="23"/>
      <c r="I43" s="23"/>
      <c r="J43" s="23"/>
    </row>
    <row r="44" ht="79.85" customHeight="1" spans="1:10">
      <c r="A44" s="20" t="s">
        <v>200</v>
      </c>
      <c r="B44" s="20" t="s">
        <v>26</v>
      </c>
      <c r="C44" s="21" t="s">
        <v>201</v>
      </c>
      <c r="D44" s="22" t="s">
        <v>202</v>
      </c>
      <c r="E44" s="20">
        <v>110</v>
      </c>
      <c r="F44" s="20" t="s">
        <v>203</v>
      </c>
      <c r="G44" s="23" t="s">
        <v>150</v>
      </c>
      <c r="H44" s="23" t="s">
        <v>204</v>
      </c>
      <c r="I44" s="23" t="s">
        <v>205</v>
      </c>
      <c r="J44" s="23"/>
    </row>
    <row r="45" ht="26.85" customHeight="1" spans="1:10">
      <c r="A45" s="20" t="s">
        <v>206</v>
      </c>
      <c r="B45" s="20" t="s">
        <v>26</v>
      </c>
      <c r="C45" s="21" t="s">
        <v>207</v>
      </c>
      <c r="D45" s="22" t="s">
        <v>208</v>
      </c>
      <c r="E45" s="20">
        <v>1</v>
      </c>
      <c r="F45" s="20" t="s">
        <v>209</v>
      </c>
      <c r="G45" s="23" t="s">
        <v>30</v>
      </c>
      <c r="H45" s="23"/>
      <c r="I45" s="23"/>
      <c r="J45" s="23"/>
    </row>
    <row r="46" ht="94.75" customHeight="1" spans="1:10">
      <c r="A46" s="20" t="s">
        <v>210</v>
      </c>
      <c r="B46" s="20" t="s">
        <v>26</v>
      </c>
      <c r="C46" s="21" t="s">
        <v>211</v>
      </c>
      <c r="D46" s="22" t="s">
        <v>212</v>
      </c>
      <c r="E46" s="20">
        <v>18</v>
      </c>
      <c r="F46" s="20" t="s">
        <v>213</v>
      </c>
      <c r="G46" s="23" t="s">
        <v>30</v>
      </c>
      <c r="H46" s="23"/>
      <c r="I46" s="23"/>
      <c r="J46" s="23"/>
    </row>
    <row r="47" ht="94.75" customHeight="1" spans="1:10">
      <c r="A47" s="20" t="s">
        <v>214</v>
      </c>
      <c r="B47" s="20" t="s">
        <v>26</v>
      </c>
      <c r="C47" s="21" t="s">
        <v>215</v>
      </c>
      <c r="D47" s="22" t="s">
        <v>216</v>
      </c>
      <c r="E47" s="20">
        <v>30</v>
      </c>
      <c r="F47" s="20" t="s">
        <v>217</v>
      </c>
      <c r="G47" s="23" t="s">
        <v>30</v>
      </c>
      <c r="H47" s="23"/>
      <c r="I47" s="23"/>
      <c r="J47" s="23"/>
    </row>
    <row r="48" ht="79.85" customHeight="1" spans="1:10">
      <c r="A48" s="20" t="s">
        <v>218</v>
      </c>
      <c r="B48" s="20" t="s">
        <v>26</v>
      </c>
      <c r="C48" s="21" t="s">
        <v>219</v>
      </c>
      <c r="D48" s="22" t="s">
        <v>220</v>
      </c>
      <c r="E48" s="20">
        <v>34</v>
      </c>
      <c r="F48" s="20" t="s">
        <v>221</v>
      </c>
      <c r="G48" s="23" t="s">
        <v>30</v>
      </c>
      <c r="H48" s="23"/>
      <c r="I48" s="23"/>
      <c r="J48" s="23"/>
    </row>
    <row r="49" ht="41" customHeight="1" spans="1:10">
      <c r="A49" s="20" t="s">
        <v>222</v>
      </c>
      <c r="B49" s="20" t="s">
        <v>26</v>
      </c>
      <c r="C49" s="21" t="s">
        <v>223</v>
      </c>
      <c r="D49" s="22" t="s">
        <v>224</v>
      </c>
      <c r="E49" s="20">
        <v>2</v>
      </c>
      <c r="F49" s="20" t="s">
        <v>225</v>
      </c>
      <c r="G49" s="23" t="s">
        <v>30</v>
      </c>
      <c r="H49" s="23"/>
      <c r="I49" s="23"/>
      <c r="J49" s="23"/>
    </row>
    <row r="50" ht="94.75" customHeight="1" spans="1:10">
      <c r="A50" s="20" t="s">
        <v>226</v>
      </c>
      <c r="B50" s="20" t="s">
        <v>26</v>
      </c>
      <c r="C50" s="21" t="s">
        <v>227</v>
      </c>
      <c r="D50" s="22" t="s">
        <v>228</v>
      </c>
      <c r="E50" s="20">
        <v>10</v>
      </c>
      <c r="F50" s="20" t="s">
        <v>229</v>
      </c>
      <c r="G50" s="23" t="s">
        <v>30</v>
      </c>
      <c r="H50" s="23"/>
      <c r="I50" s="23"/>
      <c r="J50" s="23"/>
    </row>
    <row r="51" ht="94.75" customHeight="1" spans="1:10">
      <c r="A51" s="20" t="s">
        <v>230</v>
      </c>
      <c r="B51" s="20" t="s">
        <v>26</v>
      </c>
      <c r="C51" s="20" t="s">
        <v>231</v>
      </c>
      <c r="D51" s="22" t="s">
        <v>232</v>
      </c>
      <c r="E51" s="20">
        <v>11</v>
      </c>
      <c r="F51" s="20" t="s">
        <v>233</v>
      </c>
      <c r="G51" s="23" t="s">
        <v>30</v>
      </c>
      <c r="H51" s="23"/>
      <c r="I51" s="23"/>
      <c r="J51" s="23"/>
    </row>
    <row r="52" ht="94.75" customHeight="1" spans="1:10">
      <c r="A52" s="20" t="s">
        <v>234</v>
      </c>
      <c r="B52" s="20" t="s">
        <v>235</v>
      </c>
      <c r="C52" s="21" t="s">
        <v>236</v>
      </c>
      <c r="D52" s="22" t="s">
        <v>237</v>
      </c>
      <c r="E52" s="20">
        <v>6</v>
      </c>
      <c r="F52" s="20" t="s">
        <v>238</v>
      </c>
      <c r="G52" s="23" t="s">
        <v>30</v>
      </c>
      <c r="H52" s="23"/>
      <c r="I52" s="23"/>
      <c r="J52" s="23"/>
    </row>
    <row r="53" ht="79.85" customHeight="1" spans="1:10">
      <c r="A53" s="20" t="s">
        <v>239</v>
      </c>
      <c r="B53" s="20" t="s">
        <v>235</v>
      </c>
      <c r="C53" s="21" t="s">
        <v>240</v>
      </c>
      <c r="D53" s="22" t="s">
        <v>241</v>
      </c>
      <c r="E53" s="20">
        <v>11</v>
      </c>
      <c r="F53" s="20" t="s">
        <v>242</v>
      </c>
      <c r="G53" s="23" t="s">
        <v>30</v>
      </c>
      <c r="H53" s="23"/>
      <c r="I53" s="23"/>
      <c r="J53" s="23"/>
    </row>
    <row r="54" ht="26.85" customHeight="1" spans="1:10">
      <c r="A54" s="20" t="s">
        <v>243</v>
      </c>
      <c r="B54" s="20" t="s">
        <v>235</v>
      </c>
      <c r="C54" s="21" t="s">
        <v>244</v>
      </c>
      <c r="D54" s="22" t="s">
        <v>245</v>
      </c>
      <c r="E54" s="20">
        <v>1</v>
      </c>
      <c r="F54" s="20" t="s">
        <v>246</v>
      </c>
      <c r="G54" s="23" t="s">
        <v>30</v>
      </c>
      <c r="H54" s="23"/>
      <c r="I54" s="23"/>
      <c r="J54" s="23"/>
    </row>
    <row r="55" ht="55.2" customHeight="1" spans="1:10">
      <c r="A55" s="20" t="s">
        <v>247</v>
      </c>
      <c r="B55" s="20" t="s">
        <v>235</v>
      </c>
      <c r="C55" s="21" t="s">
        <v>248</v>
      </c>
      <c r="D55" s="22" t="s">
        <v>249</v>
      </c>
      <c r="E55" s="20">
        <v>3</v>
      </c>
      <c r="F55" s="20" t="s">
        <v>250</v>
      </c>
      <c r="G55" s="23" t="s">
        <v>30</v>
      </c>
      <c r="H55" s="23"/>
      <c r="I55" s="23"/>
      <c r="J55" s="23"/>
    </row>
    <row r="56" ht="26.85" customHeight="1" spans="1:10">
      <c r="A56" s="20" t="s">
        <v>251</v>
      </c>
      <c r="B56" s="20" t="s">
        <v>235</v>
      </c>
      <c r="C56" s="21" t="s">
        <v>252</v>
      </c>
      <c r="D56" s="22" t="s">
        <v>253</v>
      </c>
      <c r="E56" s="20">
        <v>1</v>
      </c>
      <c r="F56" s="20" t="s">
        <v>254</v>
      </c>
      <c r="G56" s="23" t="s">
        <v>30</v>
      </c>
      <c r="H56" s="23"/>
      <c r="I56" s="23"/>
      <c r="J56" s="23"/>
    </row>
    <row r="57" ht="29.85" customHeight="1" spans="1:10">
      <c r="A57" s="20" t="s">
        <v>255</v>
      </c>
      <c r="B57" s="20" t="s">
        <v>235</v>
      </c>
      <c r="C57" s="21" t="s">
        <v>256</v>
      </c>
      <c r="D57" s="22" t="s">
        <v>257</v>
      </c>
      <c r="E57" s="20">
        <v>1</v>
      </c>
      <c r="F57" s="20" t="s">
        <v>258</v>
      </c>
      <c r="G57" s="23" t="s">
        <v>30</v>
      </c>
      <c r="H57" s="23"/>
      <c r="I57" s="23"/>
      <c r="J57" s="23"/>
    </row>
    <row r="58" ht="79.85" customHeight="1" spans="1:10">
      <c r="A58" s="20" t="s">
        <v>259</v>
      </c>
      <c r="B58" s="20" t="s">
        <v>235</v>
      </c>
      <c r="C58" s="21" t="s">
        <v>260</v>
      </c>
      <c r="D58" s="22" t="s">
        <v>261</v>
      </c>
      <c r="E58" s="20">
        <v>112</v>
      </c>
      <c r="F58" s="20" t="s">
        <v>262</v>
      </c>
      <c r="G58" s="23" t="s">
        <v>30</v>
      </c>
      <c r="H58" s="23"/>
      <c r="I58" s="23"/>
      <c r="J58" s="23"/>
    </row>
    <row r="59" ht="26.85" customHeight="1" spans="1:10">
      <c r="A59" s="20" t="s">
        <v>263</v>
      </c>
      <c r="B59" s="20" t="s">
        <v>235</v>
      </c>
      <c r="C59" s="21" t="s">
        <v>264</v>
      </c>
      <c r="D59" s="22" t="s">
        <v>265</v>
      </c>
      <c r="E59" s="20">
        <v>1</v>
      </c>
      <c r="F59" s="20" t="s">
        <v>266</v>
      </c>
      <c r="G59" s="23" t="s">
        <v>30</v>
      </c>
      <c r="H59" s="23"/>
      <c r="I59" s="23"/>
      <c r="J59" s="23"/>
    </row>
    <row r="60" ht="94.75" customHeight="1" spans="1:10">
      <c r="A60" s="20" t="s">
        <v>267</v>
      </c>
      <c r="B60" s="20" t="s">
        <v>235</v>
      </c>
      <c r="C60" s="21" t="s">
        <v>268</v>
      </c>
      <c r="D60" s="22" t="s">
        <v>269</v>
      </c>
      <c r="E60" s="20">
        <v>6</v>
      </c>
      <c r="F60" s="20" t="s">
        <v>270</v>
      </c>
      <c r="G60" s="23" t="s">
        <v>30</v>
      </c>
      <c r="H60" s="23"/>
      <c r="I60" s="23"/>
      <c r="J60" s="23"/>
    </row>
    <row r="61" ht="79.85" customHeight="1" spans="1:10">
      <c r="A61" s="20" t="s">
        <v>271</v>
      </c>
      <c r="B61" s="20" t="s">
        <v>235</v>
      </c>
      <c r="C61" s="21" t="s">
        <v>272</v>
      </c>
      <c r="D61" s="22" t="s">
        <v>273</v>
      </c>
      <c r="E61" s="20">
        <v>36</v>
      </c>
      <c r="F61" s="20" t="s">
        <v>274</v>
      </c>
      <c r="G61" s="23" t="s">
        <v>30</v>
      </c>
      <c r="H61" s="23"/>
      <c r="I61" s="23"/>
      <c r="J61" s="23"/>
    </row>
    <row r="62" ht="79.85" customHeight="1" spans="1:10">
      <c r="A62" s="20" t="s">
        <v>275</v>
      </c>
      <c r="B62" s="20" t="s">
        <v>235</v>
      </c>
      <c r="C62" s="21" t="s">
        <v>276</v>
      </c>
      <c r="D62" s="22" t="s">
        <v>277</v>
      </c>
      <c r="E62" s="20">
        <v>11</v>
      </c>
      <c r="F62" s="20" t="s">
        <v>278</v>
      </c>
      <c r="G62" s="23" t="s">
        <v>30</v>
      </c>
      <c r="H62" s="23"/>
      <c r="I62" s="23"/>
      <c r="J62" s="23"/>
    </row>
    <row r="63" ht="94.75" customHeight="1" spans="1:10">
      <c r="A63" s="20" t="s">
        <v>279</v>
      </c>
      <c r="B63" s="20" t="s">
        <v>235</v>
      </c>
      <c r="C63" s="21" t="s">
        <v>280</v>
      </c>
      <c r="D63" s="22" t="s">
        <v>281</v>
      </c>
      <c r="E63" s="20">
        <v>6</v>
      </c>
      <c r="F63" s="20" t="s">
        <v>282</v>
      </c>
      <c r="G63" s="23" t="s">
        <v>30</v>
      </c>
      <c r="H63" s="23"/>
      <c r="I63" s="23"/>
      <c r="J63" s="23"/>
    </row>
    <row r="64" ht="26.85" customHeight="1" spans="1:10">
      <c r="A64" s="20" t="s">
        <v>283</v>
      </c>
      <c r="B64" s="20" t="s">
        <v>235</v>
      </c>
      <c r="C64" s="21" t="s">
        <v>284</v>
      </c>
      <c r="D64" s="22" t="s">
        <v>285</v>
      </c>
      <c r="E64" s="20">
        <v>1</v>
      </c>
      <c r="F64" s="20" t="s">
        <v>286</v>
      </c>
      <c r="G64" s="23" t="s">
        <v>30</v>
      </c>
      <c r="H64" s="23"/>
      <c r="I64" s="23"/>
      <c r="J64" s="23"/>
    </row>
    <row r="65" ht="57.45" customHeight="1" spans="1:10">
      <c r="A65" s="20" t="s">
        <v>287</v>
      </c>
      <c r="B65" s="20" t="s">
        <v>235</v>
      </c>
      <c r="C65" s="21" t="s">
        <v>288</v>
      </c>
      <c r="D65" s="22" t="s">
        <v>289</v>
      </c>
      <c r="E65" s="20">
        <v>4</v>
      </c>
      <c r="F65" s="20" t="s">
        <v>290</v>
      </c>
      <c r="G65" s="23" t="s">
        <v>30</v>
      </c>
      <c r="H65" s="23"/>
      <c r="I65" s="23"/>
      <c r="J65" s="23"/>
    </row>
    <row r="66" ht="29.85" customHeight="1" spans="1:10">
      <c r="A66" s="20" t="s">
        <v>291</v>
      </c>
      <c r="B66" s="20" t="s">
        <v>235</v>
      </c>
      <c r="C66" s="21" t="s">
        <v>292</v>
      </c>
      <c r="D66" s="22" t="s">
        <v>293</v>
      </c>
      <c r="E66" s="20">
        <v>1</v>
      </c>
      <c r="F66" s="20" t="s">
        <v>294</v>
      </c>
      <c r="G66" s="23" t="s">
        <v>30</v>
      </c>
      <c r="H66" s="23"/>
      <c r="I66" s="23"/>
      <c r="J66" s="23"/>
    </row>
    <row r="67" ht="79.85" customHeight="1" spans="1:10">
      <c r="A67" s="20" t="s">
        <v>295</v>
      </c>
      <c r="B67" s="20" t="s">
        <v>235</v>
      </c>
      <c r="C67" s="21" t="s">
        <v>296</v>
      </c>
      <c r="D67" s="22" t="s">
        <v>297</v>
      </c>
      <c r="E67" s="20">
        <v>8</v>
      </c>
      <c r="F67" s="20" t="s">
        <v>298</v>
      </c>
      <c r="G67" s="23" t="s">
        <v>30</v>
      </c>
      <c r="H67" s="23"/>
      <c r="I67" s="23"/>
      <c r="J67" s="23"/>
    </row>
    <row r="68" ht="79.85" customHeight="1" spans="1:10">
      <c r="A68" s="20" t="s">
        <v>299</v>
      </c>
      <c r="B68" s="20" t="s">
        <v>235</v>
      </c>
      <c r="C68" s="21" t="s">
        <v>300</v>
      </c>
      <c r="D68" s="22" t="s">
        <v>301</v>
      </c>
      <c r="E68" s="20">
        <v>6</v>
      </c>
      <c r="F68" s="20" t="s">
        <v>302</v>
      </c>
      <c r="G68" s="23" t="s">
        <v>30</v>
      </c>
      <c r="H68" s="23"/>
      <c r="I68" s="23"/>
      <c r="J68" s="23"/>
    </row>
    <row r="69" ht="55.2" customHeight="1" spans="1:10">
      <c r="A69" s="20" t="s">
        <v>303</v>
      </c>
      <c r="B69" s="20" t="s">
        <v>235</v>
      </c>
      <c r="C69" s="21" t="s">
        <v>304</v>
      </c>
      <c r="D69" s="22" t="s">
        <v>305</v>
      </c>
      <c r="E69" s="20">
        <v>3</v>
      </c>
      <c r="F69" s="20" t="s">
        <v>306</v>
      </c>
      <c r="G69" s="23" t="s">
        <v>30</v>
      </c>
      <c r="H69" s="23"/>
      <c r="I69" s="23"/>
      <c r="J69" s="23"/>
    </row>
    <row r="70" ht="26.85" customHeight="1" spans="1:10">
      <c r="A70" s="20" t="s">
        <v>307</v>
      </c>
      <c r="B70" s="20" t="s">
        <v>235</v>
      </c>
      <c r="C70" s="21" t="s">
        <v>308</v>
      </c>
      <c r="D70" s="22" t="s">
        <v>309</v>
      </c>
      <c r="E70" s="20">
        <v>1</v>
      </c>
      <c r="F70" s="20" t="s">
        <v>310</v>
      </c>
      <c r="G70" s="23" t="s">
        <v>30</v>
      </c>
      <c r="H70" s="23"/>
      <c r="I70" s="23"/>
      <c r="J70" s="23"/>
    </row>
    <row r="71" ht="79.85" customHeight="1" spans="1:10">
      <c r="A71" s="20" t="s">
        <v>311</v>
      </c>
      <c r="B71" s="20" t="s">
        <v>235</v>
      </c>
      <c r="C71" s="21" t="s">
        <v>312</v>
      </c>
      <c r="D71" s="22" t="s">
        <v>313</v>
      </c>
      <c r="E71" s="20">
        <v>6</v>
      </c>
      <c r="F71" s="20" t="s">
        <v>314</v>
      </c>
      <c r="G71" s="23" t="s">
        <v>30</v>
      </c>
      <c r="H71" s="23"/>
      <c r="I71" s="23"/>
      <c r="J71" s="23"/>
    </row>
    <row r="72" ht="79.85" customHeight="1" spans="1:10">
      <c r="A72" s="20" t="s">
        <v>315</v>
      </c>
      <c r="B72" s="20" t="s">
        <v>235</v>
      </c>
      <c r="C72" s="21" t="s">
        <v>316</v>
      </c>
      <c r="D72" s="22" t="s">
        <v>317</v>
      </c>
      <c r="E72" s="20">
        <v>9</v>
      </c>
      <c r="F72" s="20" t="s">
        <v>318</v>
      </c>
      <c r="G72" s="23" t="s">
        <v>30</v>
      </c>
      <c r="H72" s="23"/>
      <c r="I72" s="23"/>
      <c r="J72" s="23"/>
    </row>
    <row r="73" ht="26.85" customHeight="1" spans="1:10">
      <c r="A73" s="20" t="s">
        <v>319</v>
      </c>
      <c r="B73" s="20" t="s">
        <v>235</v>
      </c>
      <c r="C73" s="21" t="s">
        <v>320</v>
      </c>
      <c r="D73" s="22" t="s">
        <v>265</v>
      </c>
      <c r="E73" s="20">
        <v>1</v>
      </c>
      <c r="F73" s="20" t="s">
        <v>266</v>
      </c>
      <c r="G73" s="23" t="s">
        <v>30</v>
      </c>
      <c r="H73" s="23"/>
      <c r="I73" s="23"/>
      <c r="J73" s="23"/>
    </row>
    <row r="74" ht="79.85" customHeight="1" spans="1:10">
      <c r="A74" s="20" t="s">
        <v>321</v>
      </c>
      <c r="B74" s="20" t="s">
        <v>235</v>
      </c>
      <c r="C74" s="21" t="s">
        <v>322</v>
      </c>
      <c r="D74" s="22" t="s">
        <v>323</v>
      </c>
      <c r="E74" s="20">
        <v>6</v>
      </c>
      <c r="F74" s="20" t="s">
        <v>324</v>
      </c>
      <c r="G74" s="23" t="s">
        <v>30</v>
      </c>
      <c r="H74" s="23"/>
      <c r="I74" s="23"/>
      <c r="J74" s="23"/>
    </row>
    <row r="75" ht="29.85" customHeight="1" spans="1:10">
      <c r="A75" s="20" t="s">
        <v>325</v>
      </c>
      <c r="B75" s="20" t="s">
        <v>235</v>
      </c>
      <c r="C75" s="21" t="s">
        <v>326</v>
      </c>
      <c r="D75" s="22" t="s">
        <v>327</v>
      </c>
      <c r="E75" s="20">
        <v>1</v>
      </c>
      <c r="F75" s="20" t="s">
        <v>328</v>
      </c>
      <c r="G75" s="23" t="s">
        <v>30</v>
      </c>
      <c r="H75" s="23"/>
      <c r="I75" s="23"/>
      <c r="J75" s="23"/>
    </row>
    <row r="76" ht="79.85" customHeight="1" spans="1:10">
      <c r="A76" s="20" t="s">
        <v>329</v>
      </c>
      <c r="B76" s="20" t="s">
        <v>235</v>
      </c>
      <c r="C76" s="21" t="s">
        <v>330</v>
      </c>
      <c r="D76" s="22" t="s">
        <v>331</v>
      </c>
      <c r="E76" s="20">
        <v>6</v>
      </c>
      <c r="F76" s="20" t="s">
        <v>332</v>
      </c>
      <c r="G76" s="23" t="s">
        <v>30</v>
      </c>
      <c r="H76" s="23"/>
      <c r="I76" s="23"/>
      <c r="J76" s="23"/>
    </row>
    <row r="77" ht="83.55" customHeight="1" spans="1:10">
      <c r="A77" s="20" t="s">
        <v>333</v>
      </c>
      <c r="B77" s="20" t="s">
        <v>235</v>
      </c>
      <c r="C77" s="21" t="s">
        <v>334</v>
      </c>
      <c r="D77" s="22" t="s">
        <v>335</v>
      </c>
      <c r="E77" s="20">
        <v>5</v>
      </c>
      <c r="F77" s="20" t="s">
        <v>336</v>
      </c>
      <c r="G77" s="23" t="s">
        <v>30</v>
      </c>
      <c r="H77" s="23"/>
      <c r="I77" s="23"/>
      <c r="J77" s="23"/>
    </row>
    <row r="78" ht="35.05" customHeight="1" spans="1:10">
      <c r="A78" s="20" t="s">
        <v>337</v>
      </c>
      <c r="B78" s="20" t="s">
        <v>235</v>
      </c>
      <c r="C78" s="21" t="s">
        <v>338</v>
      </c>
      <c r="D78" s="22" t="s">
        <v>339</v>
      </c>
      <c r="E78" s="20">
        <v>1</v>
      </c>
      <c r="F78" s="20" t="s">
        <v>340</v>
      </c>
      <c r="G78" s="23" t="s">
        <v>30</v>
      </c>
      <c r="H78" s="23"/>
      <c r="I78" s="23"/>
      <c r="J78" s="23"/>
    </row>
    <row r="79" ht="46.25" customHeight="1" spans="1:10">
      <c r="A79" s="20" t="s">
        <v>341</v>
      </c>
      <c r="B79" s="20" t="s">
        <v>235</v>
      </c>
      <c r="C79" s="21" t="s">
        <v>342</v>
      </c>
      <c r="D79" s="22" t="s">
        <v>343</v>
      </c>
      <c r="E79" s="20">
        <v>3</v>
      </c>
      <c r="F79" s="20" t="s">
        <v>344</v>
      </c>
      <c r="G79" s="23" t="s">
        <v>30</v>
      </c>
      <c r="H79" s="23"/>
      <c r="I79" s="23"/>
      <c r="J79" s="23"/>
    </row>
    <row r="80" ht="26.85" customHeight="1" spans="1:10">
      <c r="A80" s="20" t="s">
        <v>345</v>
      </c>
      <c r="B80" s="20" t="s">
        <v>235</v>
      </c>
      <c r="C80" s="21" t="s">
        <v>346</v>
      </c>
      <c r="D80" s="22" t="s">
        <v>347</v>
      </c>
      <c r="E80" s="20">
        <v>1</v>
      </c>
      <c r="F80" s="20" t="s">
        <v>348</v>
      </c>
      <c r="G80" s="23" t="s">
        <v>30</v>
      </c>
      <c r="H80" s="23"/>
      <c r="I80" s="23"/>
      <c r="J80" s="23"/>
    </row>
    <row r="81" ht="57.45" customHeight="1" spans="1:10">
      <c r="A81" s="20" t="s">
        <v>349</v>
      </c>
      <c r="B81" s="20" t="s">
        <v>235</v>
      </c>
      <c r="C81" s="21" t="s">
        <v>350</v>
      </c>
      <c r="D81" s="22" t="s">
        <v>351</v>
      </c>
      <c r="E81" s="20">
        <v>4</v>
      </c>
      <c r="F81" s="20" t="s">
        <v>352</v>
      </c>
      <c r="G81" s="23" t="s">
        <v>30</v>
      </c>
      <c r="H81" s="23"/>
      <c r="I81" s="23"/>
      <c r="J81" s="23"/>
    </row>
    <row r="82" ht="26.85" customHeight="1" spans="1:10">
      <c r="A82" s="20" t="s">
        <v>353</v>
      </c>
      <c r="B82" s="20" t="s">
        <v>235</v>
      </c>
      <c r="C82" s="21" t="s">
        <v>354</v>
      </c>
      <c r="D82" s="22" t="s">
        <v>355</v>
      </c>
      <c r="E82" s="20">
        <v>1</v>
      </c>
      <c r="F82" s="20" t="s">
        <v>356</v>
      </c>
      <c r="G82" s="23" t="s">
        <v>30</v>
      </c>
      <c r="H82" s="23"/>
      <c r="I82" s="23"/>
      <c r="J82" s="23"/>
    </row>
    <row r="83" ht="94.75" customHeight="1" spans="1:10">
      <c r="A83" s="20" t="s">
        <v>357</v>
      </c>
      <c r="B83" s="20" t="s">
        <v>235</v>
      </c>
      <c r="C83" s="21" t="s">
        <v>358</v>
      </c>
      <c r="D83" s="22" t="s">
        <v>269</v>
      </c>
      <c r="E83" s="20">
        <v>6</v>
      </c>
      <c r="F83" s="20" t="s">
        <v>270</v>
      </c>
      <c r="G83" s="23" t="s">
        <v>30</v>
      </c>
      <c r="H83" s="23"/>
      <c r="I83" s="23"/>
      <c r="J83" s="23"/>
    </row>
    <row r="84" ht="46.25" customHeight="1" spans="1:10">
      <c r="A84" s="20" t="s">
        <v>359</v>
      </c>
      <c r="B84" s="20" t="s">
        <v>235</v>
      </c>
      <c r="C84" s="21" t="s">
        <v>360</v>
      </c>
      <c r="D84" s="22" t="s">
        <v>361</v>
      </c>
      <c r="E84" s="20">
        <v>1</v>
      </c>
      <c r="F84" s="20" t="s">
        <v>362</v>
      </c>
      <c r="G84" s="23" t="s">
        <v>30</v>
      </c>
      <c r="H84" s="23"/>
      <c r="I84" s="23"/>
      <c r="J84" s="23"/>
    </row>
    <row r="85" ht="26.85" customHeight="1" spans="1:10">
      <c r="A85" s="20" t="s">
        <v>363</v>
      </c>
      <c r="B85" s="20" t="s">
        <v>235</v>
      </c>
      <c r="C85" s="21" t="s">
        <v>364</v>
      </c>
      <c r="D85" s="22" t="s">
        <v>365</v>
      </c>
      <c r="E85" s="20">
        <v>1</v>
      </c>
      <c r="F85" s="20" t="s">
        <v>366</v>
      </c>
      <c r="G85" s="23" t="s">
        <v>30</v>
      </c>
      <c r="H85" s="23"/>
      <c r="I85" s="23"/>
      <c r="J85" s="23"/>
    </row>
    <row r="86" ht="26.85" customHeight="1" spans="1:10">
      <c r="A86" s="20" t="s">
        <v>367</v>
      </c>
      <c r="B86" s="20" t="s">
        <v>235</v>
      </c>
      <c r="C86" s="21" t="s">
        <v>368</v>
      </c>
      <c r="D86" s="22" t="s">
        <v>369</v>
      </c>
      <c r="E86" s="20">
        <v>1</v>
      </c>
      <c r="F86" s="20" t="s">
        <v>370</v>
      </c>
      <c r="G86" s="23" t="s">
        <v>30</v>
      </c>
      <c r="H86" s="23"/>
      <c r="I86" s="23"/>
      <c r="J86" s="23"/>
    </row>
    <row r="87" ht="35.05" customHeight="1" spans="1:10">
      <c r="A87" s="20" t="s">
        <v>371</v>
      </c>
      <c r="B87" s="20" t="s">
        <v>235</v>
      </c>
      <c r="C87" s="21" t="s">
        <v>372</v>
      </c>
      <c r="D87" s="22" t="s">
        <v>373</v>
      </c>
      <c r="E87" s="20">
        <v>1</v>
      </c>
      <c r="F87" s="20" t="s">
        <v>374</v>
      </c>
      <c r="G87" s="23" t="s">
        <v>30</v>
      </c>
      <c r="H87" s="23"/>
      <c r="I87" s="23"/>
      <c r="J87" s="23"/>
    </row>
    <row r="88" ht="79.85" customHeight="1" spans="1:10">
      <c r="A88" s="20" t="s">
        <v>375</v>
      </c>
      <c r="B88" s="20" t="s">
        <v>235</v>
      </c>
      <c r="C88" s="21" t="s">
        <v>376</v>
      </c>
      <c r="D88" s="22" t="s">
        <v>377</v>
      </c>
      <c r="E88" s="20">
        <v>6</v>
      </c>
      <c r="F88" s="20" t="s">
        <v>378</v>
      </c>
      <c r="G88" s="23" t="s">
        <v>30</v>
      </c>
      <c r="H88" s="23"/>
      <c r="I88" s="23"/>
      <c r="J88" s="23"/>
    </row>
    <row r="89" ht="26.85" customHeight="1" spans="1:10">
      <c r="A89" s="20" t="s">
        <v>379</v>
      </c>
      <c r="B89" s="20" t="s">
        <v>235</v>
      </c>
      <c r="C89" s="21" t="s">
        <v>380</v>
      </c>
      <c r="D89" s="22" t="s">
        <v>381</v>
      </c>
      <c r="E89" s="20">
        <v>1</v>
      </c>
      <c r="F89" s="20" t="s">
        <v>382</v>
      </c>
      <c r="G89" s="23" t="s">
        <v>30</v>
      </c>
      <c r="H89" s="23"/>
      <c r="I89" s="23"/>
      <c r="J89" s="23"/>
    </row>
    <row r="90" ht="26.85" customHeight="1" spans="1:10">
      <c r="A90" s="20" t="s">
        <v>383</v>
      </c>
      <c r="B90" s="20" t="s">
        <v>235</v>
      </c>
      <c r="C90" s="21" t="s">
        <v>384</v>
      </c>
      <c r="D90" s="22" t="s">
        <v>385</v>
      </c>
      <c r="E90" s="20">
        <v>1</v>
      </c>
      <c r="F90" s="20" t="s">
        <v>386</v>
      </c>
      <c r="G90" s="23" t="s">
        <v>30</v>
      </c>
      <c r="H90" s="23"/>
      <c r="I90" s="23"/>
      <c r="J90" s="23"/>
    </row>
    <row r="91" ht="29.85" customHeight="1" spans="1:10">
      <c r="A91" s="20" t="s">
        <v>387</v>
      </c>
      <c r="B91" s="20" t="s">
        <v>235</v>
      </c>
      <c r="C91" s="20" t="s">
        <v>388</v>
      </c>
      <c r="D91" s="22" t="s">
        <v>389</v>
      </c>
      <c r="E91" s="20">
        <v>1</v>
      </c>
      <c r="F91" s="20" t="s">
        <v>390</v>
      </c>
      <c r="G91" s="23" t="s">
        <v>30</v>
      </c>
      <c r="H91" s="23"/>
      <c r="I91" s="23"/>
      <c r="J91" s="23"/>
    </row>
    <row r="92" ht="26.85" customHeight="1" spans="1:10">
      <c r="A92" s="20" t="s">
        <v>391</v>
      </c>
      <c r="B92" s="20" t="s">
        <v>235</v>
      </c>
      <c r="C92" s="21" t="s">
        <v>392</v>
      </c>
      <c r="D92" s="22" t="s">
        <v>393</v>
      </c>
      <c r="E92" s="20">
        <v>1</v>
      </c>
      <c r="F92" s="20" t="s">
        <v>394</v>
      </c>
      <c r="G92" s="23" t="s">
        <v>30</v>
      </c>
      <c r="H92" s="23"/>
      <c r="I92" s="23"/>
      <c r="J92" s="23"/>
    </row>
    <row r="93" ht="79.85" customHeight="1" spans="1:10">
      <c r="A93" s="20" t="s">
        <v>395</v>
      </c>
      <c r="B93" s="20" t="s">
        <v>235</v>
      </c>
      <c r="C93" s="21" t="s">
        <v>396</v>
      </c>
      <c r="D93" s="22" t="s">
        <v>397</v>
      </c>
      <c r="E93" s="20">
        <v>11</v>
      </c>
      <c r="F93" s="20" t="s">
        <v>398</v>
      </c>
      <c r="G93" s="23" t="s">
        <v>30</v>
      </c>
      <c r="H93" s="23"/>
      <c r="I93" s="23"/>
      <c r="J93" s="23"/>
    </row>
    <row r="94" ht="26.85" customHeight="1" spans="1:10">
      <c r="A94" s="20" t="s">
        <v>399</v>
      </c>
      <c r="B94" s="20" t="s">
        <v>235</v>
      </c>
      <c r="C94" s="21" t="s">
        <v>400</v>
      </c>
      <c r="D94" s="22" t="s">
        <v>401</v>
      </c>
      <c r="E94" s="20">
        <v>1</v>
      </c>
      <c r="F94" s="20" t="s">
        <v>402</v>
      </c>
      <c r="G94" s="23" t="s">
        <v>30</v>
      </c>
      <c r="H94" s="23"/>
      <c r="I94" s="23"/>
      <c r="J94" s="23"/>
    </row>
    <row r="95" ht="26.85" customHeight="1" spans="1:10">
      <c r="A95" s="20" t="s">
        <v>403</v>
      </c>
      <c r="B95" s="20" t="s">
        <v>235</v>
      </c>
      <c r="C95" s="21" t="s">
        <v>404</v>
      </c>
      <c r="D95" s="22" t="s">
        <v>405</v>
      </c>
      <c r="E95" s="20">
        <v>1</v>
      </c>
      <c r="F95" s="20" t="s">
        <v>406</v>
      </c>
      <c r="G95" s="23" t="s">
        <v>30</v>
      </c>
      <c r="H95" s="23"/>
      <c r="I95" s="23"/>
      <c r="J95" s="23"/>
    </row>
    <row r="96" ht="79.85" customHeight="1" spans="1:10">
      <c r="A96" s="20" t="s">
        <v>407</v>
      </c>
      <c r="B96" s="20" t="s">
        <v>235</v>
      </c>
      <c r="C96" s="21" t="s">
        <v>408</v>
      </c>
      <c r="D96" s="22" t="s">
        <v>409</v>
      </c>
      <c r="E96" s="20">
        <v>9</v>
      </c>
      <c r="F96" s="20" t="s">
        <v>410</v>
      </c>
      <c r="G96" s="23" t="s">
        <v>30</v>
      </c>
      <c r="H96" s="23"/>
      <c r="I96" s="23"/>
      <c r="J96" s="23"/>
    </row>
    <row r="97" ht="26.85" customHeight="1" spans="1:10">
      <c r="A97" s="20" t="s">
        <v>411</v>
      </c>
      <c r="B97" s="20" t="s">
        <v>235</v>
      </c>
      <c r="C97" s="21" t="s">
        <v>412</v>
      </c>
      <c r="D97" s="22" t="s">
        <v>413</v>
      </c>
      <c r="E97" s="20">
        <v>1</v>
      </c>
      <c r="F97" s="20" t="s">
        <v>414</v>
      </c>
      <c r="G97" s="23" t="s">
        <v>30</v>
      </c>
      <c r="H97" s="23"/>
      <c r="I97" s="23"/>
      <c r="J97" s="23"/>
    </row>
    <row r="98" ht="29.85" customHeight="1" spans="1:10">
      <c r="A98" s="20" t="s">
        <v>415</v>
      </c>
      <c r="B98" s="20" t="s">
        <v>235</v>
      </c>
      <c r="C98" s="21" t="s">
        <v>416</v>
      </c>
      <c r="D98" s="22" t="s">
        <v>417</v>
      </c>
      <c r="E98" s="20">
        <v>1</v>
      </c>
      <c r="F98" s="20" t="s">
        <v>418</v>
      </c>
      <c r="G98" s="23" t="s">
        <v>30</v>
      </c>
      <c r="H98" s="23"/>
      <c r="I98" s="23"/>
      <c r="J98" s="23"/>
    </row>
    <row r="99" ht="55.2" customHeight="1" spans="1:10">
      <c r="A99" s="20" t="s">
        <v>419</v>
      </c>
      <c r="B99" s="20" t="s">
        <v>235</v>
      </c>
      <c r="C99" s="21" t="s">
        <v>420</v>
      </c>
      <c r="D99" s="22" t="s">
        <v>421</v>
      </c>
      <c r="E99" s="20">
        <v>3</v>
      </c>
      <c r="F99" s="20" t="s">
        <v>422</v>
      </c>
      <c r="G99" s="23" t="s">
        <v>30</v>
      </c>
      <c r="H99" s="23"/>
      <c r="I99" s="23"/>
      <c r="J99" s="23"/>
    </row>
    <row r="100" ht="26.85" customHeight="1" spans="1:10">
      <c r="A100" s="20" t="s">
        <v>423</v>
      </c>
      <c r="B100" s="20" t="s">
        <v>235</v>
      </c>
      <c r="C100" s="21" t="s">
        <v>424</v>
      </c>
      <c r="D100" s="22" t="s">
        <v>425</v>
      </c>
      <c r="E100" s="20">
        <v>1</v>
      </c>
      <c r="F100" s="20" t="s">
        <v>426</v>
      </c>
      <c r="G100" s="23" t="s">
        <v>30</v>
      </c>
      <c r="H100" s="23"/>
      <c r="I100" s="23"/>
      <c r="J100" s="23"/>
    </row>
    <row r="101" ht="35.05" customHeight="1" spans="1:10">
      <c r="A101" s="20" t="s">
        <v>427</v>
      </c>
      <c r="B101" s="20" t="s">
        <v>235</v>
      </c>
      <c r="C101" s="21" t="s">
        <v>428</v>
      </c>
      <c r="D101" s="22" t="s">
        <v>429</v>
      </c>
      <c r="E101" s="20">
        <v>1</v>
      </c>
      <c r="F101" s="20" t="s">
        <v>430</v>
      </c>
      <c r="G101" s="23" t="s">
        <v>30</v>
      </c>
      <c r="H101" s="23"/>
      <c r="I101" s="23"/>
      <c r="J101" s="23"/>
    </row>
    <row r="102" ht="94.75" customHeight="1" spans="1:10">
      <c r="A102" s="20" t="s">
        <v>431</v>
      </c>
      <c r="B102" s="20" t="s">
        <v>432</v>
      </c>
      <c r="C102" s="21" t="s">
        <v>433</v>
      </c>
      <c r="D102" s="22" t="s">
        <v>434</v>
      </c>
      <c r="E102" s="20">
        <v>12</v>
      </c>
      <c r="F102" s="20" t="s">
        <v>435</v>
      </c>
      <c r="G102" s="23" t="s">
        <v>30</v>
      </c>
      <c r="H102" s="23"/>
      <c r="I102" s="23"/>
      <c r="J102" s="23"/>
    </row>
    <row r="103" ht="94.75" customHeight="1" spans="1:10">
      <c r="A103" s="20" t="s">
        <v>436</v>
      </c>
      <c r="B103" s="20" t="s">
        <v>432</v>
      </c>
      <c r="C103" s="21" t="s">
        <v>437</v>
      </c>
      <c r="D103" s="22" t="s">
        <v>438</v>
      </c>
      <c r="E103" s="20">
        <v>120</v>
      </c>
      <c r="F103" s="20" t="s">
        <v>439</v>
      </c>
      <c r="G103" s="23" t="s">
        <v>30</v>
      </c>
      <c r="H103" s="23"/>
      <c r="I103" s="23"/>
      <c r="J103" s="23"/>
    </row>
    <row r="104" ht="94.75" customHeight="1" spans="1:10">
      <c r="A104" s="20" t="s">
        <v>440</v>
      </c>
      <c r="B104" s="20" t="s">
        <v>432</v>
      </c>
      <c r="C104" s="21" t="s">
        <v>441</v>
      </c>
      <c r="D104" s="22" t="s">
        <v>442</v>
      </c>
      <c r="E104" s="20">
        <v>13</v>
      </c>
      <c r="F104" s="20" t="s">
        <v>443</v>
      </c>
      <c r="G104" s="23" t="s">
        <v>30</v>
      </c>
      <c r="H104" s="23"/>
      <c r="I104" s="23"/>
      <c r="J104" s="23"/>
    </row>
    <row r="105" ht="94.75" customHeight="1" spans="1:10">
      <c r="A105" s="20" t="s">
        <v>444</v>
      </c>
      <c r="B105" s="20" t="s">
        <v>432</v>
      </c>
      <c r="C105" s="21" t="s">
        <v>445</v>
      </c>
      <c r="D105" s="22" t="s">
        <v>446</v>
      </c>
      <c r="E105" s="20">
        <v>6</v>
      </c>
      <c r="F105" s="20" t="s">
        <v>447</v>
      </c>
      <c r="G105" s="23" t="s">
        <v>30</v>
      </c>
      <c r="H105" s="23"/>
      <c r="I105" s="23"/>
      <c r="J105" s="23"/>
    </row>
    <row r="106" ht="52.2" customHeight="1" spans="1:10">
      <c r="A106" s="20" t="s">
        <v>448</v>
      </c>
      <c r="B106" s="20" t="s">
        <v>432</v>
      </c>
      <c r="C106" s="21" t="s">
        <v>449</v>
      </c>
      <c r="D106" s="22" t="s">
        <v>450</v>
      </c>
      <c r="E106" s="20">
        <v>2</v>
      </c>
      <c r="F106" s="20" t="s">
        <v>451</v>
      </c>
      <c r="G106" s="23" t="s">
        <v>30</v>
      </c>
      <c r="H106" s="23"/>
      <c r="I106" s="23"/>
      <c r="J106" s="23"/>
    </row>
    <row r="107" ht="55.2" customHeight="1" spans="1:10">
      <c r="A107" s="20" t="s">
        <v>452</v>
      </c>
      <c r="B107" s="20" t="s">
        <v>432</v>
      </c>
      <c r="C107" s="21" t="s">
        <v>453</v>
      </c>
      <c r="D107" s="22" t="s">
        <v>454</v>
      </c>
      <c r="E107" s="20">
        <v>3</v>
      </c>
      <c r="F107" s="20" t="s">
        <v>455</v>
      </c>
      <c r="G107" s="23" t="s">
        <v>30</v>
      </c>
      <c r="H107" s="23"/>
      <c r="I107" s="23"/>
      <c r="J107" s="23"/>
    </row>
    <row r="108" ht="94.75" customHeight="1" spans="1:10">
      <c r="A108" s="20" t="s">
        <v>456</v>
      </c>
      <c r="B108" s="20" t="s">
        <v>432</v>
      </c>
      <c r="C108" s="21" t="s">
        <v>457</v>
      </c>
      <c r="D108" s="22" t="s">
        <v>458</v>
      </c>
      <c r="E108" s="20">
        <v>18</v>
      </c>
      <c r="F108" s="20" t="s">
        <v>459</v>
      </c>
      <c r="G108" s="23" t="s">
        <v>30</v>
      </c>
      <c r="H108" s="23"/>
      <c r="I108" s="23"/>
      <c r="J108" s="23"/>
    </row>
    <row r="109" ht="69.4" customHeight="1" spans="1:10">
      <c r="A109" s="20" t="s">
        <v>460</v>
      </c>
      <c r="B109" s="20" t="s">
        <v>432</v>
      </c>
      <c r="C109" s="21" t="s">
        <v>461</v>
      </c>
      <c r="D109" s="22" t="s">
        <v>462</v>
      </c>
      <c r="E109" s="20">
        <v>4</v>
      </c>
      <c r="F109" s="20" t="s">
        <v>463</v>
      </c>
      <c r="G109" s="23" t="s">
        <v>30</v>
      </c>
      <c r="H109" s="23"/>
      <c r="I109" s="23"/>
      <c r="J109" s="23"/>
    </row>
    <row r="110" ht="94.75" customHeight="1" spans="1:10">
      <c r="A110" s="20" t="s">
        <v>464</v>
      </c>
      <c r="B110" s="20" t="s">
        <v>432</v>
      </c>
      <c r="C110" s="21" t="s">
        <v>465</v>
      </c>
      <c r="D110" s="22" t="s">
        <v>466</v>
      </c>
      <c r="E110" s="20">
        <v>20</v>
      </c>
      <c r="F110" s="20" t="s">
        <v>467</v>
      </c>
      <c r="G110" s="23" t="s">
        <v>30</v>
      </c>
      <c r="H110" s="23"/>
      <c r="I110" s="23"/>
      <c r="J110" s="23"/>
    </row>
    <row r="111" ht="94.75" customHeight="1" spans="1:10">
      <c r="A111" s="20" t="s">
        <v>468</v>
      </c>
      <c r="B111" s="20" t="s">
        <v>432</v>
      </c>
      <c r="C111" s="21" t="s">
        <v>469</v>
      </c>
      <c r="D111" s="22" t="s">
        <v>470</v>
      </c>
      <c r="E111" s="20">
        <v>52</v>
      </c>
      <c r="F111" s="20" t="s">
        <v>471</v>
      </c>
      <c r="G111" s="23" t="s">
        <v>30</v>
      </c>
      <c r="H111" s="23"/>
      <c r="I111" s="23"/>
      <c r="J111" s="23"/>
    </row>
    <row r="112" ht="41" customHeight="1" spans="1:10">
      <c r="A112" s="20" t="s">
        <v>472</v>
      </c>
      <c r="B112" s="20" t="s">
        <v>432</v>
      </c>
      <c r="C112" s="21" t="s">
        <v>473</v>
      </c>
      <c r="D112" s="22" t="s">
        <v>474</v>
      </c>
      <c r="E112" s="20">
        <v>2</v>
      </c>
      <c r="F112" s="20" t="s">
        <v>475</v>
      </c>
      <c r="G112" s="23" t="s">
        <v>30</v>
      </c>
      <c r="H112" s="23"/>
      <c r="I112" s="23"/>
      <c r="J112" s="23"/>
    </row>
    <row r="113" ht="94.75" customHeight="1" spans="1:10">
      <c r="A113" s="20" t="s">
        <v>476</v>
      </c>
      <c r="B113" s="20" t="s">
        <v>432</v>
      </c>
      <c r="C113" s="21" t="s">
        <v>477</v>
      </c>
      <c r="D113" s="22" t="s">
        <v>478</v>
      </c>
      <c r="E113" s="20">
        <v>6</v>
      </c>
      <c r="F113" s="20" t="s">
        <v>479</v>
      </c>
      <c r="G113" s="23" t="s">
        <v>30</v>
      </c>
      <c r="H113" s="23"/>
      <c r="I113" s="23"/>
      <c r="J113" s="23"/>
    </row>
    <row r="114" ht="94.75" customHeight="1" spans="1:10">
      <c r="A114" s="20" t="s">
        <v>480</v>
      </c>
      <c r="B114" s="20" t="s">
        <v>432</v>
      </c>
      <c r="C114" s="21" t="s">
        <v>481</v>
      </c>
      <c r="D114" s="22" t="s">
        <v>482</v>
      </c>
      <c r="E114" s="20">
        <v>6</v>
      </c>
      <c r="F114" s="20" t="s">
        <v>483</v>
      </c>
      <c r="G114" s="23" t="s">
        <v>30</v>
      </c>
      <c r="H114" s="23"/>
      <c r="I114" s="23"/>
      <c r="J114" s="23"/>
    </row>
    <row r="115" ht="94.75" customHeight="1" spans="1:10">
      <c r="A115" s="20" t="s">
        <v>484</v>
      </c>
      <c r="B115" s="20" t="s">
        <v>432</v>
      </c>
      <c r="C115" s="21" t="s">
        <v>485</v>
      </c>
      <c r="D115" s="22" t="s">
        <v>486</v>
      </c>
      <c r="E115" s="20">
        <v>14</v>
      </c>
      <c r="F115" s="20" t="s">
        <v>487</v>
      </c>
      <c r="G115" s="23" t="s">
        <v>30</v>
      </c>
      <c r="H115" s="23"/>
      <c r="I115" s="23"/>
      <c r="J115" s="23"/>
    </row>
    <row r="116" ht="94.75" customHeight="1" spans="1:10">
      <c r="A116" s="20" t="s">
        <v>488</v>
      </c>
      <c r="B116" s="20" t="s">
        <v>432</v>
      </c>
      <c r="C116" s="21" t="s">
        <v>489</v>
      </c>
      <c r="D116" s="22" t="s">
        <v>490</v>
      </c>
      <c r="E116" s="20">
        <v>21</v>
      </c>
      <c r="F116" s="20" t="s">
        <v>491</v>
      </c>
      <c r="G116" s="23" t="s">
        <v>30</v>
      </c>
      <c r="H116" s="23"/>
      <c r="I116" s="23"/>
      <c r="J116" s="23"/>
    </row>
    <row r="117" ht="94.75" customHeight="1" spans="1:10">
      <c r="A117" s="20" t="s">
        <v>492</v>
      </c>
      <c r="B117" s="20" t="s">
        <v>432</v>
      </c>
      <c r="C117" s="21" t="s">
        <v>493</v>
      </c>
      <c r="D117" s="22" t="s">
        <v>494</v>
      </c>
      <c r="E117" s="20">
        <v>9</v>
      </c>
      <c r="F117" s="20" t="s">
        <v>495</v>
      </c>
      <c r="G117" s="23" t="s">
        <v>30</v>
      </c>
      <c r="H117" s="23"/>
      <c r="I117" s="23"/>
      <c r="J117" s="23"/>
    </row>
    <row r="118" ht="55.2" customHeight="1" spans="1:10">
      <c r="A118" s="20" t="s">
        <v>496</v>
      </c>
      <c r="B118" s="20" t="s">
        <v>432</v>
      </c>
      <c r="C118" s="21" t="s">
        <v>497</v>
      </c>
      <c r="D118" s="22" t="s">
        <v>498</v>
      </c>
      <c r="E118" s="20">
        <v>3</v>
      </c>
      <c r="F118" s="20" t="s">
        <v>499</v>
      </c>
      <c r="G118" s="23" t="s">
        <v>30</v>
      </c>
      <c r="H118" s="23"/>
      <c r="I118" s="23"/>
      <c r="J118" s="23"/>
    </row>
    <row r="119" ht="94.75" customHeight="1" spans="1:10">
      <c r="A119" s="20" t="s">
        <v>500</v>
      </c>
      <c r="B119" s="20" t="s">
        <v>432</v>
      </c>
      <c r="C119" s="21" t="s">
        <v>501</v>
      </c>
      <c r="D119" s="22" t="s">
        <v>502</v>
      </c>
      <c r="E119" s="20">
        <v>19</v>
      </c>
      <c r="F119" s="20" t="s">
        <v>503</v>
      </c>
      <c r="G119" s="23" t="s">
        <v>30</v>
      </c>
      <c r="H119" s="23"/>
      <c r="I119" s="23"/>
      <c r="J119" s="23"/>
    </row>
    <row r="120" ht="94.75" customHeight="1" spans="1:10">
      <c r="A120" s="20" t="s">
        <v>504</v>
      </c>
      <c r="B120" s="20" t="s">
        <v>432</v>
      </c>
      <c r="C120" s="21" t="s">
        <v>505</v>
      </c>
      <c r="D120" s="22" t="s">
        <v>506</v>
      </c>
      <c r="E120" s="20">
        <v>6</v>
      </c>
      <c r="F120" s="20" t="s">
        <v>507</v>
      </c>
      <c r="G120" s="23" t="s">
        <v>30</v>
      </c>
      <c r="H120" s="23"/>
      <c r="I120" s="23"/>
      <c r="J120" s="23"/>
    </row>
    <row r="121" ht="94.75" customHeight="1" spans="1:10">
      <c r="A121" s="20" t="s">
        <v>508</v>
      </c>
      <c r="B121" s="20" t="s">
        <v>432</v>
      </c>
      <c r="C121" s="21" t="s">
        <v>509</v>
      </c>
      <c r="D121" s="22" t="s">
        <v>510</v>
      </c>
      <c r="E121" s="20">
        <v>9</v>
      </c>
      <c r="F121" s="20" t="s">
        <v>511</v>
      </c>
      <c r="G121" s="23" t="s">
        <v>30</v>
      </c>
      <c r="H121" s="23"/>
      <c r="I121" s="23"/>
      <c r="J121" s="23"/>
    </row>
    <row r="122" ht="55.2" customHeight="1" spans="1:10">
      <c r="A122" s="20" t="s">
        <v>512</v>
      </c>
      <c r="B122" s="20" t="s">
        <v>432</v>
      </c>
      <c r="C122" s="21" t="s">
        <v>513</v>
      </c>
      <c r="D122" s="22" t="s">
        <v>514</v>
      </c>
      <c r="E122" s="20">
        <v>3</v>
      </c>
      <c r="F122" s="20" t="s">
        <v>515</v>
      </c>
      <c r="G122" s="23" t="s">
        <v>30</v>
      </c>
      <c r="H122" s="23"/>
      <c r="I122" s="23"/>
      <c r="J122" s="23"/>
    </row>
    <row r="123" ht="94.75" customHeight="1" spans="1:10">
      <c r="A123" s="20" t="s">
        <v>516</v>
      </c>
      <c r="B123" s="20" t="s">
        <v>432</v>
      </c>
      <c r="C123" s="21" t="s">
        <v>517</v>
      </c>
      <c r="D123" s="22" t="s">
        <v>518</v>
      </c>
      <c r="E123" s="20">
        <v>12</v>
      </c>
      <c r="F123" s="20" t="s">
        <v>519</v>
      </c>
      <c r="G123" s="23" t="s">
        <v>30</v>
      </c>
      <c r="H123" s="23"/>
      <c r="I123" s="23"/>
      <c r="J123" s="23"/>
    </row>
    <row r="124" ht="69.4" customHeight="1" spans="1:10">
      <c r="A124" s="20" t="s">
        <v>520</v>
      </c>
      <c r="B124" s="20" t="s">
        <v>432</v>
      </c>
      <c r="C124" s="21" t="s">
        <v>521</v>
      </c>
      <c r="D124" s="22" t="s">
        <v>522</v>
      </c>
      <c r="E124" s="20">
        <v>4</v>
      </c>
      <c r="F124" s="20" t="s">
        <v>523</v>
      </c>
      <c r="G124" s="23" t="s">
        <v>30</v>
      </c>
      <c r="H124" s="23"/>
      <c r="I124" s="23"/>
      <c r="J124" s="23"/>
    </row>
    <row r="125" ht="94.75" customHeight="1" spans="1:10">
      <c r="A125" s="20" t="s">
        <v>524</v>
      </c>
      <c r="B125" s="20" t="s">
        <v>432</v>
      </c>
      <c r="C125" s="21" t="s">
        <v>525</v>
      </c>
      <c r="D125" s="22" t="s">
        <v>526</v>
      </c>
      <c r="E125" s="20">
        <v>27</v>
      </c>
      <c r="F125" s="20" t="s">
        <v>527</v>
      </c>
      <c r="G125" s="23" t="s">
        <v>30</v>
      </c>
      <c r="H125" s="23"/>
      <c r="I125" s="23"/>
      <c r="J125" s="23"/>
    </row>
    <row r="126" ht="94.75" customHeight="1" spans="1:10">
      <c r="A126" s="20" t="s">
        <v>528</v>
      </c>
      <c r="B126" s="20" t="s">
        <v>432</v>
      </c>
      <c r="C126" s="21" t="s">
        <v>529</v>
      </c>
      <c r="D126" s="22" t="s">
        <v>530</v>
      </c>
      <c r="E126" s="20">
        <v>10</v>
      </c>
      <c r="F126" s="20" t="s">
        <v>531</v>
      </c>
      <c r="G126" s="23" t="s">
        <v>30</v>
      </c>
      <c r="H126" s="23"/>
      <c r="I126" s="23"/>
      <c r="J126" s="23"/>
    </row>
    <row r="127" ht="94.75" customHeight="1" spans="1:10">
      <c r="A127" s="20" t="s">
        <v>532</v>
      </c>
      <c r="B127" s="20" t="s">
        <v>432</v>
      </c>
      <c r="C127" s="21" t="s">
        <v>533</v>
      </c>
      <c r="D127" s="22" t="s">
        <v>534</v>
      </c>
      <c r="E127" s="20">
        <v>8</v>
      </c>
      <c r="F127" s="20" t="s">
        <v>535</v>
      </c>
      <c r="G127" s="23" t="s">
        <v>30</v>
      </c>
      <c r="H127" s="23"/>
      <c r="I127" s="23"/>
      <c r="J127" s="23"/>
    </row>
    <row r="128" ht="94.75" customHeight="1" spans="1:10">
      <c r="A128" s="20" t="s">
        <v>536</v>
      </c>
      <c r="B128" s="20" t="s">
        <v>432</v>
      </c>
      <c r="C128" s="21" t="s">
        <v>537</v>
      </c>
      <c r="D128" s="22" t="s">
        <v>538</v>
      </c>
      <c r="E128" s="20">
        <v>8</v>
      </c>
      <c r="F128" s="20" t="s">
        <v>539</v>
      </c>
      <c r="G128" s="23" t="s">
        <v>30</v>
      </c>
      <c r="H128" s="23"/>
      <c r="I128" s="23"/>
      <c r="J128" s="23"/>
    </row>
    <row r="129" ht="94.75" customHeight="1" spans="1:10">
      <c r="A129" s="20" t="s">
        <v>540</v>
      </c>
      <c r="B129" s="20" t="s">
        <v>432</v>
      </c>
      <c r="C129" s="21" t="s">
        <v>541</v>
      </c>
      <c r="D129" s="22" t="s">
        <v>542</v>
      </c>
      <c r="E129" s="20">
        <v>14</v>
      </c>
      <c r="F129" s="20" t="s">
        <v>543</v>
      </c>
      <c r="G129" s="23" t="s">
        <v>30</v>
      </c>
      <c r="H129" s="23"/>
      <c r="I129" s="23"/>
      <c r="J129" s="23"/>
    </row>
    <row r="130" ht="83.55" customHeight="1" spans="1:10">
      <c r="A130" s="20" t="s">
        <v>544</v>
      </c>
      <c r="B130" s="20" t="s">
        <v>432</v>
      </c>
      <c r="C130" s="21" t="s">
        <v>545</v>
      </c>
      <c r="D130" s="22" t="s">
        <v>546</v>
      </c>
      <c r="E130" s="20">
        <v>5</v>
      </c>
      <c r="F130" s="20" t="s">
        <v>547</v>
      </c>
      <c r="G130" s="23" t="s">
        <v>30</v>
      </c>
      <c r="H130" s="23"/>
      <c r="I130" s="23"/>
      <c r="J130" s="23"/>
    </row>
    <row r="131" ht="94.75" customHeight="1" spans="1:10">
      <c r="A131" s="20" t="s">
        <v>548</v>
      </c>
      <c r="B131" s="20" t="s">
        <v>432</v>
      </c>
      <c r="C131" s="21" t="s">
        <v>549</v>
      </c>
      <c r="D131" s="22" t="s">
        <v>550</v>
      </c>
      <c r="E131" s="20">
        <v>24</v>
      </c>
      <c r="F131" s="20" t="s">
        <v>551</v>
      </c>
      <c r="G131" s="23" t="s">
        <v>30</v>
      </c>
      <c r="H131" s="23"/>
      <c r="I131" s="23"/>
      <c r="J131" s="23"/>
    </row>
    <row r="132" ht="69.4" customHeight="1" spans="1:10">
      <c r="A132" s="20" t="s">
        <v>552</v>
      </c>
      <c r="B132" s="20" t="s">
        <v>432</v>
      </c>
      <c r="C132" s="21" t="s">
        <v>553</v>
      </c>
      <c r="D132" s="22" t="s">
        <v>554</v>
      </c>
      <c r="E132" s="20">
        <v>4</v>
      </c>
      <c r="F132" s="20" t="s">
        <v>555</v>
      </c>
      <c r="G132" s="23" t="s">
        <v>30</v>
      </c>
      <c r="H132" s="23"/>
      <c r="I132" s="23"/>
      <c r="J132" s="23"/>
    </row>
    <row r="133" ht="94.75" customHeight="1" spans="1:10">
      <c r="A133" s="20" t="s">
        <v>556</v>
      </c>
      <c r="B133" s="20" t="s">
        <v>432</v>
      </c>
      <c r="C133" s="21" t="s">
        <v>557</v>
      </c>
      <c r="D133" s="22" t="s">
        <v>558</v>
      </c>
      <c r="E133" s="20">
        <v>53</v>
      </c>
      <c r="F133" s="20" t="s">
        <v>559</v>
      </c>
      <c r="G133" s="23" t="s">
        <v>30</v>
      </c>
      <c r="H133" s="23"/>
      <c r="I133" s="23"/>
      <c r="J133" s="23"/>
    </row>
    <row r="134" ht="94.75" customHeight="1" spans="1:10">
      <c r="A134" s="20" t="s">
        <v>560</v>
      </c>
      <c r="B134" s="20" t="s">
        <v>432</v>
      </c>
      <c r="C134" s="21" t="s">
        <v>561</v>
      </c>
      <c r="D134" s="22" t="s">
        <v>562</v>
      </c>
      <c r="E134" s="20">
        <v>6</v>
      </c>
      <c r="F134" s="20" t="s">
        <v>563</v>
      </c>
      <c r="G134" s="23" t="s">
        <v>30</v>
      </c>
      <c r="H134" s="23"/>
      <c r="I134" s="23"/>
      <c r="J134" s="23"/>
    </row>
    <row r="135" ht="94.75" customHeight="1" spans="1:10">
      <c r="A135" s="20" t="s">
        <v>564</v>
      </c>
      <c r="B135" s="20" t="s">
        <v>432</v>
      </c>
      <c r="C135" s="21" t="s">
        <v>565</v>
      </c>
      <c r="D135" s="22" t="s">
        <v>566</v>
      </c>
      <c r="E135" s="20">
        <v>6</v>
      </c>
      <c r="F135" s="20" t="s">
        <v>567</v>
      </c>
      <c r="G135" s="23" t="s">
        <v>30</v>
      </c>
      <c r="H135" s="23"/>
      <c r="I135" s="23"/>
      <c r="J135" s="23"/>
    </row>
    <row r="136" ht="63.4" customHeight="1" spans="1:10">
      <c r="A136" s="20" t="s">
        <v>568</v>
      </c>
      <c r="B136" s="20" t="s">
        <v>432</v>
      </c>
      <c r="C136" s="21" t="s">
        <v>569</v>
      </c>
      <c r="D136" s="22" t="s">
        <v>570</v>
      </c>
      <c r="E136" s="20">
        <v>1</v>
      </c>
      <c r="F136" s="20" t="s">
        <v>571</v>
      </c>
      <c r="G136" s="23" t="s">
        <v>30</v>
      </c>
      <c r="H136" s="23"/>
      <c r="I136" s="23"/>
      <c r="J136" s="23"/>
    </row>
    <row r="137" ht="94.75" customHeight="1" spans="1:10">
      <c r="A137" s="20" t="s">
        <v>572</v>
      </c>
      <c r="B137" s="20" t="s">
        <v>432</v>
      </c>
      <c r="C137" s="21" t="s">
        <v>573</v>
      </c>
      <c r="D137" s="22" t="s">
        <v>574</v>
      </c>
      <c r="E137" s="20">
        <v>44</v>
      </c>
      <c r="F137" s="20" t="s">
        <v>575</v>
      </c>
      <c r="G137" s="23" t="s">
        <v>30</v>
      </c>
      <c r="H137" s="23"/>
      <c r="I137" s="23"/>
      <c r="J137" s="23"/>
    </row>
    <row r="138" ht="63.4" customHeight="1" spans="1:10">
      <c r="A138" s="20" t="s">
        <v>576</v>
      </c>
      <c r="B138" s="20" t="s">
        <v>432</v>
      </c>
      <c r="C138" s="21" t="s">
        <v>577</v>
      </c>
      <c r="D138" s="22" t="s">
        <v>578</v>
      </c>
      <c r="E138" s="20">
        <v>2</v>
      </c>
      <c r="F138" s="20" t="s">
        <v>579</v>
      </c>
      <c r="G138" s="23" t="s">
        <v>30</v>
      </c>
      <c r="H138" s="23"/>
      <c r="I138" s="23"/>
      <c r="J138" s="23"/>
    </row>
    <row r="139" ht="55.2" customHeight="1" spans="1:10">
      <c r="A139" s="20" t="s">
        <v>580</v>
      </c>
      <c r="B139" s="20" t="s">
        <v>432</v>
      </c>
      <c r="C139" s="21" t="s">
        <v>581</v>
      </c>
      <c r="D139" s="22" t="s">
        <v>582</v>
      </c>
      <c r="E139" s="20">
        <v>3</v>
      </c>
      <c r="F139" s="20" t="s">
        <v>583</v>
      </c>
      <c r="G139" s="23" t="s">
        <v>30</v>
      </c>
      <c r="H139" s="23"/>
      <c r="I139" s="23"/>
      <c r="J139" s="23"/>
    </row>
    <row r="140" ht="94.75" customHeight="1" spans="1:10">
      <c r="A140" s="20" t="s">
        <v>584</v>
      </c>
      <c r="B140" s="20" t="s">
        <v>432</v>
      </c>
      <c r="C140" s="21" t="s">
        <v>585</v>
      </c>
      <c r="D140" s="22" t="s">
        <v>586</v>
      </c>
      <c r="E140" s="20">
        <v>6</v>
      </c>
      <c r="F140" s="20" t="s">
        <v>587</v>
      </c>
      <c r="G140" s="23" t="s">
        <v>30</v>
      </c>
      <c r="H140" s="23"/>
      <c r="I140" s="23"/>
      <c r="J140" s="23"/>
    </row>
    <row r="141" ht="83.55" customHeight="1" spans="1:10">
      <c r="A141" s="20" t="s">
        <v>588</v>
      </c>
      <c r="B141" s="20" t="s">
        <v>432</v>
      </c>
      <c r="C141" s="21" t="s">
        <v>589</v>
      </c>
      <c r="D141" s="22" t="s">
        <v>590</v>
      </c>
      <c r="E141" s="20">
        <v>5</v>
      </c>
      <c r="F141" s="20" t="s">
        <v>591</v>
      </c>
      <c r="G141" s="23" t="s">
        <v>30</v>
      </c>
      <c r="H141" s="23"/>
      <c r="I141" s="23"/>
      <c r="J141" s="23"/>
    </row>
    <row r="142" ht="52.2" customHeight="1" spans="1:10">
      <c r="A142" s="20" t="s">
        <v>592</v>
      </c>
      <c r="B142" s="20" t="s">
        <v>432</v>
      </c>
      <c r="C142" s="21" t="s">
        <v>593</v>
      </c>
      <c r="D142" s="22" t="s">
        <v>594</v>
      </c>
      <c r="E142" s="20">
        <v>2</v>
      </c>
      <c r="F142" s="20" t="s">
        <v>595</v>
      </c>
      <c r="G142" s="23" t="s">
        <v>30</v>
      </c>
      <c r="H142" s="23"/>
      <c r="I142" s="23"/>
      <c r="J142" s="23"/>
    </row>
    <row r="143" ht="69.4" customHeight="1" spans="1:10">
      <c r="A143" s="20" t="s">
        <v>596</v>
      </c>
      <c r="B143" s="20" t="s">
        <v>432</v>
      </c>
      <c r="C143" s="21" t="s">
        <v>597</v>
      </c>
      <c r="D143" s="22" t="s">
        <v>598</v>
      </c>
      <c r="E143" s="20">
        <v>4</v>
      </c>
      <c r="F143" s="20" t="s">
        <v>599</v>
      </c>
      <c r="G143" s="23" t="s">
        <v>30</v>
      </c>
      <c r="H143" s="23"/>
      <c r="I143" s="23"/>
      <c r="J143" s="23"/>
    </row>
    <row r="144" ht="94.75" customHeight="1" spans="1:10">
      <c r="A144" s="20" t="s">
        <v>600</v>
      </c>
      <c r="B144" s="20" t="s">
        <v>432</v>
      </c>
      <c r="C144" s="21" t="s">
        <v>601</v>
      </c>
      <c r="D144" s="22" t="s">
        <v>602</v>
      </c>
      <c r="E144" s="20">
        <v>9</v>
      </c>
      <c r="F144" s="20" t="s">
        <v>603</v>
      </c>
      <c r="G144" s="23" t="s">
        <v>30</v>
      </c>
      <c r="H144" s="23"/>
      <c r="I144" s="23"/>
      <c r="J144" s="23"/>
    </row>
    <row r="145" ht="94.75" customHeight="1" spans="1:10">
      <c r="A145" s="20" t="s">
        <v>604</v>
      </c>
      <c r="B145" s="20" t="s">
        <v>432</v>
      </c>
      <c r="C145" s="21" t="s">
        <v>605</v>
      </c>
      <c r="D145" s="22" t="s">
        <v>606</v>
      </c>
      <c r="E145" s="20">
        <v>9</v>
      </c>
      <c r="F145" s="20" t="s">
        <v>607</v>
      </c>
      <c r="G145" s="23" t="s">
        <v>30</v>
      </c>
      <c r="H145" s="23"/>
      <c r="I145" s="23"/>
      <c r="J145" s="23"/>
    </row>
    <row r="146" ht="94.75" customHeight="1" spans="1:10">
      <c r="A146" s="20" t="s">
        <v>608</v>
      </c>
      <c r="B146" s="20" t="s">
        <v>432</v>
      </c>
      <c r="C146" s="21" t="s">
        <v>609</v>
      </c>
      <c r="D146" s="22" t="s">
        <v>610</v>
      </c>
      <c r="E146" s="20">
        <v>9</v>
      </c>
      <c r="F146" s="20" t="s">
        <v>611</v>
      </c>
      <c r="G146" s="23" t="s">
        <v>30</v>
      </c>
      <c r="H146" s="23"/>
      <c r="I146" s="23"/>
      <c r="J146" s="23"/>
    </row>
    <row r="147" ht="94.75" customHeight="1" spans="1:10">
      <c r="A147" s="20" t="s">
        <v>612</v>
      </c>
      <c r="B147" s="20" t="s">
        <v>432</v>
      </c>
      <c r="C147" s="21" t="s">
        <v>613</v>
      </c>
      <c r="D147" s="22" t="s">
        <v>614</v>
      </c>
      <c r="E147" s="20">
        <v>12</v>
      </c>
      <c r="F147" s="20" t="s">
        <v>615</v>
      </c>
      <c r="G147" s="23" t="s">
        <v>30</v>
      </c>
      <c r="H147" s="23"/>
      <c r="I147" s="23"/>
      <c r="J147" s="23"/>
    </row>
    <row r="148" ht="94.75" customHeight="1" spans="1:10">
      <c r="A148" s="20" t="s">
        <v>616</v>
      </c>
      <c r="B148" s="20" t="s">
        <v>432</v>
      </c>
      <c r="C148" s="21" t="s">
        <v>617</v>
      </c>
      <c r="D148" s="22" t="s">
        <v>618</v>
      </c>
      <c r="E148" s="20">
        <v>6</v>
      </c>
      <c r="F148" s="20" t="s">
        <v>619</v>
      </c>
      <c r="G148" s="23" t="s">
        <v>30</v>
      </c>
      <c r="H148" s="23"/>
      <c r="I148" s="23"/>
      <c r="J148" s="23"/>
    </row>
    <row r="149" ht="94.75" customHeight="1" spans="1:10">
      <c r="A149" s="20" t="s">
        <v>620</v>
      </c>
      <c r="B149" s="20" t="s">
        <v>432</v>
      </c>
      <c r="C149" s="21" t="s">
        <v>621</v>
      </c>
      <c r="D149" s="22" t="s">
        <v>622</v>
      </c>
      <c r="E149" s="20">
        <v>6</v>
      </c>
      <c r="F149" s="20" t="s">
        <v>623</v>
      </c>
      <c r="G149" s="23" t="s">
        <v>30</v>
      </c>
      <c r="H149" s="23"/>
      <c r="I149" s="23"/>
      <c r="J149" s="23"/>
    </row>
    <row r="150" ht="94.75" customHeight="1" spans="1:10">
      <c r="A150" s="20" t="s">
        <v>624</v>
      </c>
      <c r="B150" s="20" t="s">
        <v>432</v>
      </c>
      <c r="C150" s="21" t="s">
        <v>625</v>
      </c>
      <c r="D150" s="22" t="s">
        <v>626</v>
      </c>
      <c r="E150" s="20">
        <v>30</v>
      </c>
      <c r="F150" s="20" t="s">
        <v>627</v>
      </c>
      <c r="G150" s="23" t="s">
        <v>30</v>
      </c>
      <c r="H150" s="23"/>
      <c r="I150" s="23"/>
      <c r="J150" s="23"/>
    </row>
    <row r="151" ht="49.25" customHeight="1" spans="1:10">
      <c r="A151" s="20" t="s">
        <v>628</v>
      </c>
      <c r="B151" s="20" t="s">
        <v>432</v>
      </c>
      <c r="C151" s="21" t="s">
        <v>629</v>
      </c>
      <c r="D151" s="22" t="s">
        <v>630</v>
      </c>
      <c r="E151" s="20">
        <v>1</v>
      </c>
      <c r="F151" s="20" t="s">
        <v>50</v>
      </c>
      <c r="G151" s="23" t="s">
        <v>30</v>
      </c>
      <c r="H151" s="23"/>
      <c r="I151" s="23"/>
      <c r="J151" s="23"/>
    </row>
    <row r="152" ht="94.75" customHeight="1" spans="1:10">
      <c r="A152" s="20" t="s">
        <v>631</v>
      </c>
      <c r="B152" s="20" t="s">
        <v>632</v>
      </c>
      <c r="C152" s="21" t="s">
        <v>633</v>
      </c>
      <c r="D152" s="22" t="s">
        <v>634</v>
      </c>
      <c r="E152" s="20">
        <v>45</v>
      </c>
      <c r="F152" s="20" t="s">
        <v>635</v>
      </c>
      <c r="G152" s="23" t="s">
        <v>30</v>
      </c>
      <c r="H152" s="23"/>
      <c r="I152" s="23"/>
      <c r="J152" s="23"/>
    </row>
    <row r="153" ht="94.75" customHeight="1" spans="1:10">
      <c r="A153" s="20" t="s">
        <v>636</v>
      </c>
      <c r="B153" s="20" t="s">
        <v>632</v>
      </c>
      <c r="C153" s="21" t="s">
        <v>637</v>
      </c>
      <c r="D153" s="22" t="s">
        <v>638</v>
      </c>
      <c r="E153" s="20">
        <v>8</v>
      </c>
      <c r="F153" s="20" t="s">
        <v>639</v>
      </c>
      <c r="G153" s="23" t="s">
        <v>30</v>
      </c>
      <c r="H153" s="23"/>
      <c r="I153" s="23"/>
      <c r="J153" s="23"/>
    </row>
    <row r="154" ht="35.05" customHeight="1" spans="1:10">
      <c r="A154" s="20" t="s">
        <v>640</v>
      </c>
      <c r="B154" s="20" t="s">
        <v>632</v>
      </c>
      <c r="C154" s="21" t="s">
        <v>641</v>
      </c>
      <c r="D154" s="22" t="s">
        <v>642</v>
      </c>
      <c r="E154" s="20">
        <v>1</v>
      </c>
      <c r="F154" s="20" t="s">
        <v>643</v>
      </c>
      <c r="G154" s="23" t="s">
        <v>30</v>
      </c>
      <c r="H154" s="23"/>
      <c r="I154" s="23"/>
      <c r="J154" s="23"/>
    </row>
    <row r="155" ht="94.75" customHeight="1" spans="1:10">
      <c r="A155" s="20" t="s">
        <v>644</v>
      </c>
      <c r="B155" s="20" t="s">
        <v>632</v>
      </c>
      <c r="C155" s="21" t="s">
        <v>645</v>
      </c>
      <c r="D155" s="22" t="s">
        <v>646</v>
      </c>
      <c r="E155" s="20">
        <v>97</v>
      </c>
      <c r="F155" s="20" t="s">
        <v>647</v>
      </c>
      <c r="G155" s="23" t="s">
        <v>30</v>
      </c>
      <c r="H155" s="23"/>
      <c r="I155" s="23"/>
      <c r="J155" s="23"/>
    </row>
    <row r="156" ht="68.65" customHeight="1" spans="1:10">
      <c r="A156" s="20" t="s">
        <v>648</v>
      </c>
      <c r="B156" s="20" t="s">
        <v>632</v>
      </c>
      <c r="C156" s="21" t="s">
        <v>649</v>
      </c>
      <c r="D156" s="22" t="s">
        <v>650</v>
      </c>
      <c r="E156" s="20">
        <v>2</v>
      </c>
      <c r="F156" s="20" t="s">
        <v>651</v>
      </c>
      <c r="G156" s="23" t="s">
        <v>30</v>
      </c>
      <c r="H156" s="23"/>
      <c r="I156" s="23"/>
      <c r="J156" s="23"/>
    </row>
    <row r="157" ht="94.75" customHeight="1" spans="1:10">
      <c r="A157" s="20" t="s">
        <v>652</v>
      </c>
      <c r="B157" s="20" t="s">
        <v>632</v>
      </c>
      <c r="C157" s="21" t="s">
        <v>653</v>
      </c>
      <c r="D157" s="22" t="s">
        <v>654</v>
      </c>
      <c r="E157" s="20">
        <v>105</v>
      </c>
      <c r="F157" s="20" t="s">
        <v>655</v>
      </c>
      <c r="G157" s="23" t="s">
        <v>30</v>
      </c>
      <c r="H157" s="23"/>
      <c r="I157" s="23"/>
      <c r="J157" s="23"/>
    </row>
    <row r="158" ht="79.85" customHeight="1" spans="1:10">
      <c r="A158" s="20" t="s">
        <v>656</v>
      </c>
      <c r="B158" s="20" t="s">
        <v>632</v>
      </c>
      <c r="C158" s="21" t="s">
        <v>657</v>
      </c>
      <c r="D158" s="22" t="s">
        <v>658</v>
      </c>
      <c r="E158" s="20">
        <v>6</v>
      </c>
      <c r="F158" s="20" t="s">
        <v>314</v>
      </c>
      <c r="G158" s="23" t="s">
        <v>30</v>
      </c>
      <c r="H158" s="23"/>
      <c r="I158" s="23"/>
      <c r="J158" s="23"/>
    </row>
    <row r="159" ht="97" customHeight="1" spans="1:10">
      <c r="A159" s="20" t="s">
        <v>659</v>
      </c>
      <c r="B159" s="20" t="s">
        <v>632</v>
      </c>
      <c r="C159" s="21" t="s">
        <v>660</v>
      </c>
      <c r="D159" s="22" t="s">
        <v>661</v>
      </c>
      <c r="E159" s="20">
        <v>38</v>
      </c>
      <c r="F159" s="20" t="s">
        <v>662</v>
      </c>
      <c r="G159" s="23" t="s">
        <v>30</v>
      </c>
      <c r="H159" s="23"/>
      <c r="I159" s="23"/>
      <c r="J159" s="23"/>
    </row>
    <row r="160" ht="94.75" customHeight="1" spans="1:10">
      <c r="A160" s="20" t="s">
        <v>663</v>
      </c>
      <c r="B160" s="20" t="s">
        <v>632</v>
      </c>
      <c r="C160" s="21" t="s">
        <v>664</v>
      </c>
      <c r="D160" s="22" t="s">
        <v>665</v>
      </c>
      <c r="E160" s="20">
        <v>10</v>
      </c>
      <c r="F160" s="20" t="s">
        <v>666</v>
      </c>
      <c r="G160" s="23" t="s">
        <v>30</v>
      </c>
      <c r="H160" s="23"/>
      <c r="I160" s="23"/>
      <c r="J160" s="23"/>
    </row>
    <row r="161" ht="94.75" customHeight="1" spans="1:10">
      <c r="A161" s="20" t="s">
        <v>667</v>
      </c>
      <c r="B161" s="20" t="s">
        <v>632</v>
      </c>
      <c r="C161" s="21" t="s">
        <v>668</v>
      </c>
      <c r="D161" s="22" t="s">
        <v>669</v>
      </c>
      <c r="E161" s="20">
        <v>44</v>
      </c>
      <c r="F161" s="20" t="s">
        <v>670</v>
      </c>
      <c r="G161" s="23" t="s">
        <v>30</v>
      </c>
      <c r="H161" s="23"/>
      <c r="I161" s="23"/>
      <c r="J161" s="23"/>
    </row>
    <row r="162" ht="94.75" customHeight="1" spans="1:10">
      <c r="A162" s="20" t="s">
        <v>671</v>
      </c>
      <c r="B162" s="20" t="s">
        <v>632</v>
      </c>
      <c r="C162" s="21" t="s">
        <v>672</v>
      </c>
      <c r="D162" s="22" t="s">
        <v>673</v>
      </c>
      <c r="E162" s="20">
        <v>50</v>
      </c>
      <c r="F162" s="20" t="s">
        <v>674</v>
      </c>
      <c r="G162" s="23" t="s">
        <v>30</v>
      </c>
      <c r="H162" s="23"/>
      <c r="I162" s="23"/>
      <c r="J162" s="23"/>
    </row>
    <row r="163" ht="35.05" customHeight="1" spans="1:10">
      <c r="A163" s="20" t="s">
        <v>675</v>
      </c>
      <c r="B163" s="20" t="s">
        <v>632</v>
      </c>
      <c r="C163" s="21" t="s">
        <v>676</v>
      </c>
      <c r="D163" s="22" t="s">
        <v>677</v>
      </c>
      <c r="E163" s="20">
        <v>1</v>
      </c>
      <c r="F163" s="20" t="s">
        <v>678</v>
      </c>
      <c r="G163" s="23" t="s">
        <v>30</v>
      </c>
      <c r="H163" s="23"/>
      <c r="I163" s="23"/>
      <c r="J163" s="23"/>
    </row>
    <row r="164" ht="94.75" customHeight="1" spans="1:10">
      <c r="A164" s="20" t="s">
        <v>679</v>
      </c>
      <c r="B164" s="20" t="s">
        <v>632</v>
      </c>
      <c r="C164" s="21" t="s">
        <v>680</v>
      </c>
      <c r="D164" s="22" t="s">
        <v>681</v>
      </c>
      <c r="E164" s="20">
        <v>36</v>
      </c>
      <c r="F164" s="20" t="s">
        <v>635</v>
      </c>
      <c r="G164" s="23" t="s">
        <v>30</v>
      </c>
      <c r="H164" s="23"/>
      <c r="I164" s="23"/>
      <c r="J164" s="23"/>
    </row>
    <row r="165" ht="94.75" customHeight="1" spans="1:10">
      <c r="A165" s="20" t="s">
        <v>682</v>
      </c>
      <c r="B165" s="20" t="s">
        <v>632</v>
      </c>
      <c r="C165" s="21" t="s">
        <v>683</v>
      </c>
      <c r="D165" s="22" t="s">
        <v>684</v>
      </c>
      <c r="E165" s="20">
        <v>14</v>
      </c>
      <c r="F165" s="20" t="s">
        <v>685</v>
      </c>
      <c r="G165" s="23" t="s">
        <v>30</v>
      </c>
      <c r="H165" s="23"/>
      <c r="I165" s="23"/>
      <c r="J165" s="23"/>
    </row>
    <row r="166" ht="97" customHeight="1" spans="1:10">
      <c r="A166" s="20" t="s">
        <v>686</v>
      </c>
      <c r="B166" s="20" t="s">
        <v>632</v>
      </c>
      <c r="C166" s="21" t="s">
        <v>687</v>
      </c>
      <c r="D166" s="22" t="s">
        <v>688</v>
      </c>
      <c r="E166" s="20">
        <v>33</v>
      </c>
      <c r="F166" s="20" t="s">
        <v>689</v>
      </c>
      <c r="G166" s="23" t="s">
        <v>30</v>
      </c>
      <c r="H166" s="23"/>
      <c r="I166" s="23"/>
      <c r="J166" s="23"/>
    </row>
    <row r="167" ht="94.75" customHeight="1" spans="1:10">
      <c r="A167" s="20" t="s">
        <v>690</v>
      </c>
      <c r="B167" s="20" t="s">
        <v>632</v>
      </c>
      <c r="C167" s="21" t="s">
        <v>691</v>
      </c>
      <c r="D167" s="22" t="s">
        <v>692</v>
      </c>
      <c r="E167" s="20">
        <v>82</v>
      </c>
      <c r="F167" s="20" t="s">
        <v>693</v>
      </c>
      <c r="G167" s="23" t="s">
        <v>30</v>
      </c>
      <c r="H167" s="23"/>
      <c r="I167" s="23"/>
      <c r="J167" s="23"/>
    </row>
    <row r="168" ht="94.75" customHeight="1" spans="1:10">
      <c r="A168" s="20" t="s">
        <v>694</v>
      </c>
      <c r="B168" s="20" t="s">
        <v>632</v>
      </c>
      <c r="C168" s="21" t="s">
        <v>695</v>
      </c>
      <c r="D168" s="22" t="s">
        <v>696</v>
      </c>
      <c r="E168" s="20">
        <v>12</v>
      </c>
      <c r="F168" s="20" t="s">
        <v>697</v>
      </c>
      <c r="G168" s="23" t="s">
        <v>30</v>
      </c>
      <c r="H168" s="23"/>
      <c r="I168" s="23"/>
      <c r="J168" s="23"/>
    </row>
    <row r="169" ht="94.75" customHeight="1" spans="1:10">
      <c r="A169" s="20" t="s">
        <v>698</v>
      </c>
      <c r="B169" s="20" t="s">
        <v>632</v>
      </c>
      <c r="C169" s="21" t="s">
        <v>699</v>
      </c>
      <c r="D169" s="22" t="s">
        <v>700</v>
      </c>
      <c r="E169" s="20">
        <v>38</v>
      </c>
      <c r="F169" s="20" t="s">
        <v>701</v>
      </c>
      <c r="G169" s="23" t="s">
        <v>30</v>
      </c>
      <c r="H169" s="23"/>
      <c r="I169" s="23"/>
      <c r="J169" s="23"/>
    </row>
    <row r="170" ht="94.75" customHeight="1" spans="1:10">
      <c r="A170" s="20" t="s">
        <v>702</v>
      </c>
      <c r="B170" s="20" t="s">
        <v>632</v>
      </c>
      <c r="C170" s="21" t="s">
        <v>703</v>
      </c>
      <c r="D170" s="22" t="s">
        <v>704</v>
      </c>
      <c r="E170" s="20">
        <v>10</v>
      </c>
      <c r="F170" s="20" t="s">
        <v>705</v>
      </c>
      <c r="G170" s="23" t="s">
        <v>30</v>
      </c>
      <c r="H170" s="23"/>
      <c r="I170" s="23"/>
      <c r="J170" s="23"/>
    </row>
    <row r="171" ht="94.75" customHeight="1" spans="1:10">
      <c r="A171" s="20" t="s">
        <v>706</v>
      </c>
      <c r="B171" s="20" t="s">
        <v>632</v>
      </c>
      <c r="C171" s="21" t="s">
        <v>707</v>
      </c>
      <c r="D171" s="22" t="s">
        <v>708</v>
      </c>
      <c r="E171" s="20">
        <v>40</v>
      </c>
      <c r="F171" s="20" t="s">
        <v>709</v>
      </c>
      <c r="G171" s="23" t="s">
        <v>30</v>
      </c>
      <c r="H171" s="23"/>
      <c r="I171" s="23"/>
      <c r="J171" s="23"/>
    </row>
    <row r="172" ht="94.75" customHeight="1" spans="1:10">
      <c r="A172" s="20" t="s">
        <v>710</v>
      </c>
      <c r="B172" s="20" t="s">
        <v>632</v>
      </c>
      <c r="C172" s="21" t="s">
        <v>711</v>
      </c>
      <c r="D172" s="22" t="s">
        <v>712</v>
      </c>
      <c r="E172" s="20">
        <v>7</v>
      </c>
      <c r="F172" s="20" t="s">
        <v>713</v>
      </c>
      <c r="G172" s="23" t="s">
        <v>30</v>
      </c>
      <c r="H172" s="23"/>
      <c r="I172" s="23"/>
      <c r="J172" s="23"/>
    </row>
    <row r="173" ht="57.45" customHeight="1" spans="1:10">
      <c r="A173" s="20" t="s">
        <v>714</v>
      </c>
      <c r="B173" s="20" t="s">
        <v>632</v>
      </c>
      <c r="C173" s="21" t="s">
        <v>715</v>
      </c>
      <c r="D173" s="22" t="s">
        <v>716</v>
      </c>
      <c r="E173" s="20">
        <v>2</v>
      </c>
      <c r="F173" s="20" t="s">
        <v>651</v>
      </c>
      <c r="G173" s="23" t="s">
        <v>30</v>
      </c>
      <c r="H173" s="23"/>
      <c r="I173" s="23"/>
      <c r="J173" s="23"/>
    </row>
    <row r="174" ht="102.2" customHeight="1" spans="1:10">
      <c r="A174" s="20" t="s">
        <v>717</v>
      </c>
      <c r="B174" s="20" t="s">
        <v>632</v>
      </c>
      <c r="C174" s="21" t="s">
        <v>718</v>
      </c>
      <c r="D174" s="22" t="s">
        <v>719</v>
      </c>
      <c r="E174" s="20">
        <v>9</v>
      </c>
      <c r="F174" s="20" t="s">
        <v>720</v>
      </c>
      <c r="G174" s="23" t="s">
        <v>30</v>
      </c>
      <c r="H174" s="23"/>
      <c r="I174" s="23"/>
      <c r="J174" s="23"/>
    </row>
    <row r="175" ht="83.55" customHeight="1" spans="1:10">
      <c r="A175" s="20" t="s">
        <v>721</v>
      </c>
      <c r="B175" s="20" t="s">
        <v>632</v>
      </c>
      <c r="C175" s="21" t="s">
        <v>722</v>
      </c>
      <c r="D175" s="22" t="s">
        <v>723</v>
      </c>
      <c r="E175" s="20">
        <v>5</v>
      </c>
      <c r="F175" s="20" t="s">
        <v>724</v>
      </c>
      <c r="G175" s="23" t="s">
        <v>123</v>
      </c>
      <c r="H175" s="23" t="s">
        <v>725</v>
      </c>
      <c r="I175" s="23" t="s">
        <v>726</v>
      </c>
      <c r="J175" s="23"/>
    </row>
    <row r="176" ht="57.45" customHeight="1" spans="1:10">
      <c r="A176" s="20" t="s">
        <v>727</v>
      </c>
      <c r="B176" s="20" t="s">
        <v>632</v>
      </c>
      <c r="C176" s="21" t="s">
        <v>728</v>
      </c>
      <c r="D176" s="22" t="s">
        <v>729</v>
      </c>
      <c r="E176" s="20">
        <v>1</v>
      </c>
      <c r="F176" s="20" t="s">
        <v>730</v>
      </c>
      <c r="G176" s="23" t="s">
        <v>123</v>
      </c>
      <c r="H176" s="23" t="s">
        <v>731</v>
      </c>
      <c r="I176" s="23" t="s">
        <v>732</v>
      </c>
      <c r="J176" s="23"/>
    </row>
    <row r="177" ht="94.75" customHeight="1" spans="1:10">
      <c r="A177" s="20" t="s">
        <v>733</v>
      </c>
      <c r="B177" s="20" t="s">
        <v>632</v>
      </c>
      <c r="C177" s="21" t="s">
        <v>734</v>
      </c>
      <c r="D177" s="22" t="s">
        <v>735</v>
      </c>
      <c r="E177" s="20">
        <v>9</v>
      </c>
      <c r="F177" s="20" t="s">
        <v>736</v>
      </c>
      <c r="G177" s="23" t="s">
        <v>30</v>
      </c>
      <c r="H177" s="23"/>
      <c r="I177" s="23"/>
      <c r="J177" s="23"/>
    </row>
    <row r="178" ht="94.75" customHeight="1" spans="1:10">
      <c r="A178" s="20" t="s">
        <v>737</v>
      </c>
      <c r="B178" s="20" t="s">
        <v>632</v>
      </c>
      <c r="C178" s="21" t="s">
        <v>738</v>
      </c>
      <c r="D178" s="22" t="s">
        <v>739</v>
      </c>
      <c r="E178" s="20">
        <v>19</v>
      </c>
      <c r="F178" s="20" t="s">
        <v>740</v>
      </c>
      <c r="G178" s="23" t="s">
        <v>30</v>
      </c>
      <c r="H178" s="23"/>
      <c r="I178" s="23"/>
      <c r="J178" s="23"/>
    </row>
    <row r="179" ht="79.85" customHeight="1" spans="1:10">
      <c r="A179" s="20" t="s">
        <v>741</v>
      </c>
      <c r="B179" s="20" t="s">
        <v>632</v>
      </c>
      <c r="C179" s="21" t="s">
        <v>742</v>
      </c>
      <c r="D179" s="22" t="s">
        <v>743</v>
      </c>
      <c r="E179" s="20">
        <v>4</v>
      </c>
      <c r="F179" s="20" t="s">
        <v>744</v>
      </c>
      <c r="G179" s="23" t="s">
        <v>30</v>
      </c>
      <c r="H179" s="23"/>
      <c r="I179" s="23"/>
      <c r="J179" s="23"/>
    </row>
    <row r="180" ht="94.75" customHeight="1" spans="1:10">
      <c r="A180" s="20" t="s">
        <v>745</v>
      </c>
      <c r="B180" s="20" t="s">
        <v>632</v>
      </c>
      <c r="C180" s="21" t="s">
        <v>746</v>
      </c>
      <c r="D180" s="22" t="s">
        <v>747</v>
      </c>
      <c r="E180" s="20">
        <v>105</v>
      </c>
      <c r="F180" s="20" t="s">
        <v>748</v>
      </c>
      <c r="G180" s="23" t="s">
        <v>30</v>
      </c>
      <c r="H180" s="23"/>
      <c r="I180" s="23"/>
      <c r="J180" s="23"/>
    </row>
    <row r="181" ht="102.2" customHeight="1" spans="1:10">
      <c r="A181" s="20" t="s">
        <v>749</v>
      </c>
      <c r="B181" s="20" t="s">
        <v>632</v>
      </c>
      <c r="C181" s="21" t="s">
        <v>750</v>
      </c>
      <c r="D181" s="22" t="s">
        <v>751</v>
      </c>
      <c r="E181" s="20">
        <v>7</v>
      </c>
      <c r="F181" s="20" t="s">
        <v>752</v>
      </c>
      <c r="G181" s="23" t="s">
        <v>30</v>
      </c>
      <c r="H181" s="23"/>
      <c r="I181" s="23"/>
      <c r="J181" s="23"/>
    </row>
    <row r="182" ht="94.75" customHeight="1" spans="1:10">
      <c r="A182" s="20" t="s">
        <v>753</v>
      </c>
      <c r="B182" s="20" t="s">
        <v>632</v>
      </c>
      <c r="C182" s="21" t="s">
        <v>754</v>
      </c>
      <c r="D182" s="22" t="s">
        <v>755</v>
      </c>
      <c r="E182" s="20">
        <v>69</v>
      </c>
      <c r="F182" s="20" t="s">
        <v>756</v>
      </c>
      <c r="G182" s="23" t="s">
        <v>123</v>
      </c>
      <c r="H182" s="23" t="s">
        <v>757</v>
      </c>
      <c r="I182" s="23" t="s">
        <v>758</v>
      </c>
      <c r="J182" s="23"/>
    </row>
    <row r="183" ht="102.2" customHeight="1" spans="1:10">
      <c r="A183" s="20" t="s">
        <v>759</v>
      </c>
      <c r="B183" s="20" t="s">
        <v>632</v>
      </c>
      <c r="C183" s="21" t="s">
        <v>760</v>
      </c>
      <c r="D183" s="22" t="s">
        <v>761</v>
      </c>
      <c r="E183" s="20">
        <v>5</v>
      </c>
      <c r="F183" s="20" t="s">
        <v>762</v>
      </c>
      <c r="G183" s="23" t="s">
        <v>30</v>
      </c>
      <c r="H183" s="23"/>
      <c r="I183" s="23"/>
      <c r="J183" s="23"/>
    </row>
    <row r="184" ht="111.15" customHeight="1" spans="1:10">
      <c r="A184" s="20" t="s">
        <v>763</v>
      </c>
      <c r="B184" s="20" t="s">
        <v>632</v>
      </c>
      <c r="C184" s="21" t="s">
        <v>764</v>
      </c>
      <c r="D184" s="22" t="s">
        <v>765</v>
      </c>
      <c r="E184" s="20">
        <v>6</v>
      </c>
      <c r="F184" s="20" t="s">
        <v>766</v>
      </c>
      <c r="G184" s="23" t="s">
        <v>30</v>
      </c>
      <c r="H184" s="23"/>
      <c r="I184" s="23"/>
      <c r="J184" s="23"/>
    </row>
    <row r="185" ht="102.2" customHeight="1" spans="1:10">
      <c r="A185" s="20" t="s">
        <v>767</v>
      </c>
      <c r="B185" s="20" t="s">
        <v>632</v>
      </c>
      <c r="C185" s="21" t="s">
        <v>768</v>
      </c>
      <c r="D185" s="22" t="s">
        <v>769</v>
      </c>
      <c r="E185" s="20">
        <v>6</v>
      </c>
      <c r="F185" s="20" t="s">
        <v>770</v>
      </c>
      <c r="G185" s="23" t="s">
        <v>30</v>
      </c>
      <c r="H185" s="23"/>
      <c r="I185" s="23"/>
      <c r="J185" s="23"/>
    </row>
    <row r="186" ht="46.25" customHeight="1" spans="1:10">
      <c r="A186" s="20" t="s">
        <v>771</v>
      </c>
      <c r="B186" s="20" t="s">
        <v>632</v>
      </c>
      <c r="C186" s="21" t="s">
        <v>772</v>
      </c>
      <c r="D186" s="22" t="s">
        <v>773</v>
      </c>
      <c r="E186" s="20">
        <v>1</v>
      </c>
      <c r="F186" s="20" t="s">
        <v>774</v>
      </c>
      <c r="G186" s="23" t="s">
        <v>30</v>
      </c>
      <c r="H186" s="23"/>
      <c r="I186" s="23"/>
      <c r="J186" s="23"/>
    </row>
    <row r="187" ht="94.75" customHeight="1" spans="1:10">
      <c r="A187" s="20" t="s">
        <v>775</v>
      </c>
      <c r="B187" s="20" t="s">
        <v>632</v>
      </c>
      <c r="C187" s="21" t="s">
        <v>776</v>
      </c>
      <c r="D187" s="22" t="s">
        <v>777</v>
      </c>
      <c r="E187" s="20">
        <v>30</v>
      </c>
      <c r="F187" s="20" t="s">
        <v>778</v>
      </c>
      <c r="G187" s="23" t="s">
        <v>30</v>
      </c>
      <c r="H187" s="23"/>
      <c r="I187" s="23"/>
      <c r="J187" s="23"/>
    </row>
    <row r="188" ht="94.75" customHeight="1" spans="1:10">
      <c r="A188" s="20" t="s">
        <v>779</v>
      </c>
      <c r="B188" s="20" t="s">
        <v>632</v>
      </c>
      <c r="C188" s="21" t="s">
        <v>780</v>
      </c>
      <c r="D188" s="22" t="s">
        <v>781</v>
      </c>
      <c r="E188" s="20">
        <v>13</v>
      </c>
      <c r="F188" s="20" t="s">
        <v>782</v>
      </c>
      <c r="G188" s="23" t="s">
        <v>30</v>
      </c>
      <c r="H188" s="23"/>
      <c r="I188" s="23"/>
      <c r="J188" s="23"/>
    </row>
    <row r="189" ht="94.75" customHeight="1" spans="1:10">
      <c r="A189" s="20" t="s">
        <v>783</v>
      </c>
      <c r="B189" s="20" t="s">
        <v>632</v>
      </c>
      <c r="C189" s="20" t="s">
        <v>784</v>
      </c>
      <c r="D189" s="22" t="s">
        <v>785</v>
      </c>
      <c r="E189" s="20">
        <v>19</v>
      </c>
      <c r="F189" s="20" t="s">
        <v>786</v>
      </c>
      <c r="G189" s="23" t="s">
        <v>30</v>
      </c>
      <c r="H189" s="23"/>
      <c r="I189" s="23"/>
      <c r="J189" s="23"/>
    </row>
    <row r="190" ht="113.4" customHeight="1" spans="1:10">
      <c r="A190" s="20" t="s">
        <v>787</v>
      </c>
      <c r="B190" s="20" t="s">
        <v>632</v>
      </c>
      <c r="C190" s="21" t="s">
        <v>788</v>
      </c>
      <c r="D190" s="22" t="s">
        <v>789</v>
      </c>
      <c r="E190" s="20">
        <v>9</v>
      </c>
      <c r="F190" s="20" t="s">
        <v>790</v>
      </c>
      <c r="G190" s="23" t="s">
        <v>30</v>
      </c>
      <c r="H190" s="23"/>
      <c r="I190" s="23"/>
      <c r="J190" s="23"/>
    </row>
    <row r="191" ht="97" customHeight="1" spans="1:10">
      <c r="A191" s="20" t="s">
        <v>791</v>
      </c>
      <c r="B191" s="20" t="s">
        <v>632</v>
      </c>
      <c r="C191" s="21" t="s">
        <v>792</v>
      </c>
      <c r="D191" s="22" t="s">
        <v>793</v>
      </c>
      <c r="E191" s="20">
        <v>53</v>
      </c>
      <c r="F191" s="20" t="s">
        <v>794</v>
      </c>
      <c r="G191" s="23" t="s">
        <v>30</v>
      </c>
      <c r="H191" s="23"/>
      <c r="I191" s="23"/>
      <c r="J191" s="23"/>
    </row>
    <row r="192" ht="94.75" customHeight="1" spans="1:10">
      <c r="A192" s="20" t="s">
        <v>795</v>
      </c>
      <c r="B192" s="20" t="s">
        <v>632</v>
      </c>
      <c r="C192" s="21" t="s">
        <v>796</v>
      </c>
      <c r="D192" s="22" t="s">
        <v>797</v>
      </c>
      <c r="E192" s="20">
        <v>59</v>
      </c>
      <c r="F192" s="20" t="s">
        <v>798</v>
      </c>
      <c r="G192" s="23" t="s">
        <v>30</v>
      </c>
      <c r="H192" s="23"/>
      <c r="I192" s="23"/>
      <c r="J192" s="23"/>
    </row>
    <row r="193" ht="94.75" customHeight="1" spans="1:10">
      <c r="A193" s="20" t="s">
        <v>799</v>
      </c>
      <c r="B193" s="20" t="s">
        <v>632</v>
      </c>
      <c r="C193" s="21" t="s">
        <v>800</v>
      </c>
      <c r="D193" s="22" t="s">
        <v>801</v>
      </c>
      <c r="E193" s="20">
        <v>80</v>
      </c>
      <c r="F193" s="20" t="s">
        <v>802</v>
      </c>
      <c r="G193" s="23" t="s">
        <v>30</v>
      </c>
      <c r="H193" s="23"/>
      <c r="I193" s="23"/>
      <c r="J193" s="23"/>
    </row>
    <row r="194" ht="35.05" customHeight="1" spans="1:10">
      <c r="A194" s="20" t="s">
        <v>803</v>
      </c>
      <c r="B194" s="20" t="s">
        <v>632</v>
      </c>
      <c r="C194" s="21" t="s">
        <v>804</v>
      </c>
      <c r="D194" s="22" t="s">
        <v>805</v>
      </c>
      <c r="E194" s="20">
        <v>1</v>
      </c>
      <c r="F194" s="20" t="s">
        <v>806</v>
      </c>
      <c r="G194" s="23" t="s">
        <v>30</v>
      </c>
      <c r="H194" s="23"/>
      <c r="I194" s="23"/>
      <c r="J194" s="23"/>
    </row>
    <row r="195" ht="94.75" customHeight="1" spans="1:10">
      <c r="A195" s="20" t="s">
        <v>807</v>
      </c>
      <c r="B195" s="20" t="s">
        <v>632</v>
      </c>
      <c r="C195" s="21" t="s">
        <v>808</v>
      </c>
      <c r="D195" s="22" t="s">
        <v>809</v>
      </c>
      <c r="E195" s="20">
        <v>44</v>
      </c>
      <c r="F195" s="20" t="s">
        <v>810</v>
      </c>
      <c r="G195" s="23" t="s">
        <v>30</v>
      </c>
      <c r="H195" s="23"/>
      <c r="I195" s="23"/>
      <c r="J195" s="23"/>
    </row>
    <row r="196" ht="94.75" customHeight="1" spans="1:10">
      <c r="A196" s="20" t="s">
        <v>811</v>
      </c>
      <c r="B196" s="20" t="s">
        <v>632</v>
      </c>
      <c r="C196" s="21" t="s">
        <v>812</v>
      </c>
      <c r="D196" s="22" t="s">
        <v>813</v>
      </c>
      <c r="E196" s="20">
        <v>36</v>
      </c>
      <c r="F196" s="20" t="s">
        <v>814</v>
      </c>
      <c r="G196" s="23" t="s">
        <v>30</v>
      </c>
      <c r="H196" s="23"/>
      <c r="I196" s="23"/>
      <c r="J196" s="23"/>
    </row>
    <row r="197" ht="46.25" customHeight="1" spans="1:10">
      <c r="A197" s="20" t="s">
        <v>815</v>
      </c>
      <c r="B197" s="20" t="s">
        <v>632</v>
      </c>
      <c r="C197" s="21" t="s">
        <v>816</v>
      </c>
      <c r="D197" s="22" t="s">
        <v>817</v>
      </c>
      <c r="E197" s="20">
        <v>1</v>
      </c>
      <c r="F197" s="20" t="s">
        <v>818</v>
      </c>
      <c r="G197" s="23" t="s">
        <v>123</v>
      </c>
      <c r="H197" s="23" t="s">
        <v>819</v>
      </c>
      <c r="I197" s="23" t="s">
        <v>820</v>
      </c>
      <c r="J197" s="23"/>
    </row>
    <row r="198" ht="60.4" customHeight="1" spans="1:10">
      <c r="A198" s="20" t="s">
        <v>821</v>
      </c>
      <c r="B198" s="20" t="s">
        <v>632</v>
      </c>
      <c r="C198" s="21" t="s">
        <v>822</v>
      </c>
      <c r="D198" s="22" t="s">
        <v>823</v>
      </c>
      <c r="E198" s="20">
        <v>1</v>
      </c>
      <c r="F198" s="20" t="s">
        <v>824</v>
      </c>
      <c r="G198" s="23" t="s">
        <v>30</v>
      </c>
      <c r="H198" s="23"/>
      <c r="I198" s="23"/>
      <c r="J198" s="23"/>
    </row>
    <row r="199" ht="94.75" customHeight="1" spans="1:10">
      <c r="A199" s="20" t="s">
        <v>825</v>
      </c>
      <c r="B199" s="20" t="s">
        <v>632</v>
      </c>
      <c r="C199" s="21" t="s">
        <v>826</v>
      </c>
      <c r="D199" s="22" t="s">
        <v>827</v>
      </c>
      <c r="E199" s="20">
        <v>18</v>
      </c>
      <c r="F199" s="20" t="s">
        <v>828</v>
      </c>
      <c r="G199" s="23" t="s">
        <v>30</v>
      </c>
      <c r="H199" s="23"/>
      <c r="I199" s="23"/>
      <c r="J199" s="23"/>
    </row>
    <row r="200" ht="147" customHeight="1" spans="1:10">
      <c r="A200" s="20" t="s">
        <v>829</v>
      </c>
      <c r="B200" s="20" t="s">
        <v>632</v>
      </c>
      <c r="C200" s="21" t="s">
        <v>830</v>
      </c>
      <c r="D200" s="22" t="s">
        <v>831</v>
      </c>
      <c r="E200" s="20">
        <v>4</v>
      </c>
      <c r="F200" s="20" t="s">
        <v>832</v>
      </c>
      <c r="G200" s="23" t="s">
        <v>30</v>
      </c>
      <c r="H200" s="23"/>
      <c r="I200" s="23"/>
      <c r="J200" s="23"/>
    </row>
    <row r="201" ht="94.75" customHeight="1" spans="1:10">
      <c r="A201" s="20" t="s">
        <v>833</v>
      </c>
      <c r="B201" s="20" t="s">
        <v>632</v>
      </c>
      <c r="C201" s="21" t="s">
        <v>834</v>
      </c>
      <c r="D201" s="22" t="s">
        <v>835</v>
      </c>
      <c r="E201" s="20">
        <v>13</v>
      </c>
      <c r="F201" s="20" t="s">
        <v>836</v>
      </c>
      <c r="G201" s="23" t="s">
        <v>30</v>
      </c>
      <c r="H201" s="23"/>
      <c r="I201" s="23"/>
      <c r="J201" s="23"/>
    </row>
  </sheetData>
  <autoFilter xmlns:etc="http://www.wps.cn/officeDocument/2017/etCustomData" ref="A1:J201" etc:filterBottomFollowUsedRange="0">
    <extLst/>
  </autoFilter>
  <dataValidations count="1">
    <dataValidation type="list" allowBlank="1" sqref="G2:G201">
      <formula1>"正确,有误,问题有歧义"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8.68141592920354" defaultRowHeight="14.25" outlineLevelRow="7" outlineLevelCol="5"/>
  <cols>
    <col min="1" max="1" width="14" customWidth="1"/>
  </cols>
  <sheetData>
    <row r="1" ht="16.15" customHeight="1" spans="1:1">
      <c r="A1" s="6" t="s">
        <v>837</v>
      </c>
    </row>
    <row r="3" ht="15" customHeight="1" spans="1:6">
      <c r="A3" s="16" t="s">
        <v>838</v>
      </c>
      <c r="B3" s="16" t="s">
        <v>839</v>
      </c>
      <c r="C3" s="17" t="s">
        <v>840</v>
      </c>
      <c r="D3" s="17" t="s">
        <v>841</v>
      </c>
      <c r="E3" s="17" t="s">
        <v>842</v>
      </c>
      <c r="F3" s="17" t="s">
        <v>843</v>
      </c>
    </row>
    <row r="4" ht="15" customHeight="1" spans="1:6">
      <c r="A4" s="8" t="s">
        <v>30</v>
      </c>
      <c r="B4">
        <f>COUNTIF('复核 Review'!$G$2:$G$201,"正确")</f>
        <v>193</v>
      </c>
      <c r="C4">
        <f>SUMPRODUCT((LEFT('复核 Review'!$A$2:$A$201,2)="L1")*('复核 Review'!$G$2:$G$201="正确"))</f>
        <v>47</v>
      </c>
      <c r="D4">
        <f>SUMPRODUCT((LEFT('复核 Review'!$A$2:$A$201,2)="L2")*('复核 Review'!$G$2:$G$201="正确"))</f>
        <v>50</v>
      </c>
      <c r="E4">
        <f>SUMPRODUCT((LEFT('复核 Review'!$A$2:$A$201,2)="L3")*('复核 Review'!$G$2:$G$201="正确"))</f>
        <v>50</v>
      </c>
      <c r="F4">
        <f>SUMPRODUCT((LEFT('复核 Review'!$A$2:$A$201,2)="L4")*('复核 Review'!$G$2:$G$201="正确"))</f>
        <v>46</v>
      </c>
    </row>
    <row r="5" ht="15" customHeight="1" spans="1:6">
      <c r="A5" s="8" t="s">
        <v>123</v>
      </c>
      <c r="B5">
        <f>COUNTIF('复核 Review'!$G$2:$G$201,"有误")</f>
        <v>5</v>
      </c>
      <c r="C5">
        <f>SUMPRODUCT((LEFT('复核 Review'!$A$2:$A$201,2)="L1")*('复核 Review'!$G$2:$G$201="有误"))</f>
        <v>1</v>
      </c>
      <c r="D5">
        <f>SUMPRODUCT((LEFT('复核 Review'!$A$2:$A$201,2)="L2")*('复核 Review'!$G$2:$G$201="有误"))</f>
        <v>0</v>
      </c>
      <c r="E5">
        <f>SUMPRODUCT((LEFT('复核 Review'!$A$2:$A$201,2)="L3")*('复核 Review'!$G$2:$G$201="有误"))</f>
        <v>0</v>
      </c>
      <c r="F5">
        <f>SUMPRODUCT((LEFT('复核 Review'!$A$2:$A$201,2)="L4")*('复核 Review'!$G$2:$G$201="有误"))</f>
        <v>4</v>
      </c>
    </row>
    <row r="6" ht="15" customHeight="1" spans="1:6">
      <c r="A6" s="8" t="s">
        <v>150</v>
      </c>
      <c r="B6">
        <f>COUNTIF('复核 Review'!$G$2:$G$201,"问题有歧义")</f>
        <v>2</v>
      </c>
      <c r="C6">
        <f>SUMPRODUCT((LEFT('复核 Review'!$A$2:$A$201,2)="L1")*('复核 Review'!$G$2:$G$201="问题有歧义"))</f>
        <v>2</v>
      </c>
      <c r="D6">
        <f>SUMPRODUCT((LEFT('复核 Review'!$A$2:$A$201,2)="L2")*('复核 Review'!$G$2:$G$201="问题有歧义"))</f>
        <v>0</v>
      </c>
      <c r="E6">
        <f>SUMPRODUCT((LEFT('复核 Review'!$A$2:$A$201,2)="L3")*('复核 Review'!$G$2:$G$201="问题有歧义"))</f>
        <v>0</v>
      </c>
      <c r="F6">
        <f>SUMPRODUCT((LEFT('复核 Review'!$A$2:$A$201,2)="L4")*('复核 Review'!$G$2:$G$201="问题有歧义"))</f>
        <v>0</v>
      </c>
    </row>
    <row r="7" ht="15" customHeight="1" spans="1:6">
      <c r="A7" s="8" t="s">
        <v>844</v>
      </c>
      <c r="B7">
        <f>COUNTBLANK('复核 Review'!$G$2:$G$201)</f>
        <v>0</v>
      </c>
      <c r="C7">
        <f>SUMPRODUCT((LEFT('复核 Review'!$A$2:$A$201,2)="L1")*('复核 Review'!$G$2:$G$201=""))</f>
        <v>0</v>
      </c>
      <c r="D7">
        <f>SUMPRODUCT((LEFT('复核 Review'!$A$2:$A$201,2)="L2")*('复核 Review'!$G$2:$G$201=""))</f>
        <v>0</v>
      </c>
      <c r="E7">
        <f>SUMPRODUCT((LEFT('复核 Review'!$A$2:$A$201,2)="L3")*('复核 Review'!$G$2:$G$201=""))</f>
        <v>0</v>
      </c>
      <c r="F7">
        <f>SUMPRODUCT((LEFT('复核 Review'!$A$2:$A$201,2)="L4")*('复核 Review'!$G$2:$G$201=""))</f>
        <v>0</v>
      </c>
    </row>
    <row r="8" ht="15" customHeight="1" spans="1:6">
      <c r="A8" s="1" t="s">
        <v>839</v>
      </c>
      <c r="B8">
        <f>SUM(B4:B7)</f>
        <v>200</v>
      </c>
      <c r="C8">
        <f>SUM(C4:C7)</f>
        <v>50</v>
      </c>
      <c r="D8">
        <f>SUM(D4:D7)</f>
        <v>50</v>
      </c>
      <c r="E8">
        <f>SUM(E4:E7)</f>
        <v>50</v>
      </c>
      <c r="F8">
        <f>SUM(F4:F7)</f>
        <v>50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2" sqref="A2:G8"/>
    </sheetView>
  </sheetViews>
  <sheetFormatPr defaultColWidth="8.68141592920354" defaultRowHeight="14.25" outlineLevelRow="7" outlineLevelCol="6"/>
  <cols>
    <col min="1" max="1" width="10" customWidth="1"/>
    <col min="2" max="3" width="46" customWidth="1"/>
    <col min="4" max="4" width="40" customWidth="1"/>
    <col min="5" max="5" width="14" customWidth="1"/>
    <col min="6" max="6" width="60" customWidth="1"/>
    <col min="7" max="7" width="12" customWidth="1"/>
  </cols>
  <sheetData>
    <row r="1" ht="48.5" customHeight="1" spans="1:7">
      <c r="A1" s="9" t="s">
        <v>15</v>
      </c>
      <c r="B1" s="9" t="s">
        <v>845</v>
      </c>
      <c r="C1" s="9" t="s">
        <v>846</v>
      </c>
      <c r="D1" s="9" t="s">
        <v>847</v>
      </c>
      <c r="E1" s="13" t="s">
        <v>848</v>
      </c>
      <c r="F1" s="9" t="s">
        <v>849</v>
      </c>
      <c r="G1" s="9" t="s">
        <v>850</v>
      </c>
    </row>
    <row r="2" ht="17.15" customHeight="1" spans="1:7">
      <c r="A2" s="10" t="s">
        <v>119</v>
      </c>
      <c r="B2" s="11" t="s">
        <v>851</v>
      </c>
      <c r="C2" s="12" t="s">
        <v>852</v>
      </c>
      <c r="D2" s="12" t="s">
        <v>853</v>
      </c>
      <c r="E2" s="14" t="s">
        <v>854</v>
      </c>
      <c r="F2" s="12" t="s">
        <v>855</v>
      </c>
      <c r="G2" s="15">
        <v>46299</v>
      </c>
    </row>
    <row r="3" ht="42" customHeight="1" spans="1:7">
      <c r="A3" s="11" t="s">
        <v>146</v>
      </c>
      <c r="B3" s="11" t="s">
        <v>856</v>
      </c>
      <c r="C3" s="12" t="s">
        <v>857</v>
      </c>
      <c r="D3" s="12" t="s">
        <v>858</v>
      </c>
      <c r="E3" s="14" t="s">
        <v>859</v>
      </c>
      <c r="F3" s="14" t="s">
        <v>860</v>
      </c>
      <c r="G3" s="15">
        <v>46299</v>
      </c>
    </row>
    <row r="4" ht="28.5" customHeight="1" spans="1:7">
      <c r="A4" s="11" t="s">
        <v>200</v>
      </c>
      <c r="B4" s="11" t="s">
        <v>861</v>
      </c>
      <c r="C4" s="12" t="s">
        <v>862</v>
      </c>
      <c r="D4" s="12" t="s">
        <v>858</v>
      </c>
      <c r="E4" s="14" t="s">
        <v>859</v>
      </c>
      <c r="F4" s="14" t="s">
        <v>860</v>
      </c>
      <c r="G4" s="15">
        <v>46299</v>
      </c>
    </row>
    <row r="5" ht="42.75" customHeight="1" spans="1:7">
      <c r="A5" s="11" t="s">
        <v>721</v>
      </c>
      <c r="B5" s="11" t="s">
        <v>863</v>
      </c>
      <c r="C5" s="11" t="s">
        <v>864</v>
      </c>
      <c r="D5" s="11" t="s">
        <v>865</v>
      </c>
      <c r="E5" s="11" t="s">
        <v>854</v>
      </c>
      <c r="F5" s="11" t="s">
        <v>726</v>
      </c>
      <c r="G5" s="15">
        <v>46299</v>
      </c>
    </row>
    <row r="6" ht="57" customHeight="1" spans="1:7">
      <c r="A6" s="11" t="s">
        <v>727</v>
      </c>
      <c r="B6" s="11" t="s">
        <v>866</v>
      </c>
      <c r="C6" s="11" t="s">
        <v>867</v>
      </c>
      <c r="D6" s="11" t="s">
        <v>868</v>
      </c>
      <c r="E6" s="11" t="s">
        <v>854</v>
      </c>
      <c r="F6" s="11" t="s">
        <v>732</v>
      </c>
      <c r="G6" s="15">
        <v>46299</v>
      </c>
    </row>
    <row r="7" ht="56.25" customHeight="1" spans="1:7">
      <c r="A7" s="11" t="s">
        <v>753</v>
      </c>
      <c r="B7" s="11" t="s">
        <v>869</v>
      </c>
      <c r="C7" s="11" t="s">
        <v>870</v>
      </c>
      <c r="D7" s="11" t="s">
        <v>871</v>
      </c>
      <c r="E7" s="11" t="s">
        <v>859</v>
      </c>
      <c r="F7" s="11" t="s">
        <v>860</v>
      </c>
      <c r="G7" s="15">
        <v>46299</v>
      </c>
    </row>
    <row r="8" ht="57" customHeight="1" spans="1:7">
      <c r="A8" s="11" t="s">
        <v>815</v>
      </c>
      <c r="B8" s="11" t="s">
        <v>872</v>
      </c>
      <c r="C8" s="11" t="s">
        <v>873</v>
      </c>
      <c r="D8" s="11" t="s">
        <v>874</v>
      </c>
      <c r="E8" s="11" t="s">
        <v>854</v>
      </c>
      <c r="F8" s="11" t="s">
        <v>820</v>
      </c>
      <c r="G8" s="15">
        <v>46299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workbookViewId="0">
      <selection activeCell="A29" sqref="A29"/>
    </sheetView>
  </sheetViews>
  <sheetFormatPr defaultColWidth="8.68141592920354" defaultRowHeight="14.25"/>
  <cols>
    <col min="1" max="1" width="160" customWidth="1"/>
  </cols>
  <sheetData>
    <row r="1" ht="20.1" customHeight="1" spans="1:1">
      <c r="A1" s="6" t="s">
        <v>875</v>
      </c>
    </row>
    <row r="3" ht="15" customHeight="1" spans="1:1">
      <c r="A3" s="7" t="s">
        <v>876</v>
      </c>
    </row>
    <row r="4" ht="15" customHeight="1" spans="1:1">
      <c r="A4" s="7" t="s">
        <v>877</v>
      </c>
    </row>
    <row r="5" ht="15" customHeight="1" spans="1:1">
      <c r="A5" s="7" t="s">
        <v>878</v>
      </c>
    </row>
    <row r="6" ht="15" customHeight="1" spans="1:1">
      <c r="A6" s="7" t="s">
        <v>879</v>
      </c>
    </row>
    <row r="7" ht="15" customHeight="1" spans="1:1">
      <c r="A7" s="7" t="s">
        <v>880</v>
      </c>
    </row>
    <row r="8" ht="15" customHeight="1" spans="1:1">
      <c r="A8" s="7" t="s">
        <v>881</v>
      </c>
    </row>
    <row r="9" ht="15" customHeight="1" spans="1:1">
      <c r="A9" s="7" t="s">
        <v>882</v>
      </c>
    </row>
    <row r="11" ht="15" customHeight="1" spans="1:1">
      <c r="A11" s="1" t="s">
        <v>883</v>
      </c>
    </row>
    <row r="12" ht="17.15" customHeight="1" spans="1:1">
      <c r="A12" s="8" t="s">
        <v>884</v>
      </c>
    </row>
    <row r="13" ht="17.15" customHeight="1" spans="1:1">
      <c r="A13" s="8" t="s">
        <v>885</v>
      </c>
    </row>
    <row r="14" ht="17.15" customHeight="1" spans="1:1">
      <c r="A14" s="8" t="s">
        <v>886</v>
      </c>
    </row>
    <row r="15" ht="17.15" customHeight="1" spans="1:1">
      <c r="A15" s="8" t="s">
        <v>887</v>
      </c>
    </row>
    <row r="16" ht="17.15" customHeight="1" spans="1:1">
      <c r="A16" s="8" t="s">
        <v>888</v>
      </c>
    </row>
    <row r="17" ht="17.15" customHeight="1" spans="1:1">
      <c r="A17" s="8" t="s">
        <v>889</v>
      </c>
    </row>
    <row r="18" ht="17.15" customHeight="1" spans="1:1">
      <c r="A18" s="8" t="s">
        <v>890</v>
      </c>
    </row>
    <row r="19" ht="17.15" customHeight="1" spans="1:1">
      <c r="A19" s="8" t="s">
        <v>891</v>
      </c>
    </row>
    <row r="20" ht="17.15" customHeight="1" spans="1:1">
      <c r="A20" s="8" t="s">
        <v>892</v>
      </c>
    </row>
    <row r="21" ht="17.15" customHeight="1" spans="1:1">
      <c r="A21" s="8" t="s">
        <v>893</v>
      </c>
    </row>
    <row r="22" ht="17.15" customHeight="1" spans="1:1">
      <c r="A22" s="8" t="s">
        <v>894</v>
      </c>
    </row>
    <row r="23" ht="17.15" customHeight="1" spans="1:1">
      <c r="A23" s="8" t="s">
        <v>895</v>
      </c>
    </row>
    <row r="24" ht="17.15" customHeight="1" spans="1:1">
      <c r="A24" s="8" t="s">
        <v>896</v>
      </c>
    </row>
    <row r="25" ht="17.15" customHeight="1" spans="1:1">
      <c r="A25" s="8" t="s">
        <v>897</v>
      </c>
    </row>
    <row r="26" ht="15" customHeight="1" spans="1:1">
      <c r="A26" s="8" t="s">
        <v>898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0" sqref="B10"/>
    </sheetView>
  </sheetViews>
  <sheetFormatPr defaultColWidth="8.68141592920354" defaultRowHeight="14.25" outlineLevelRow="6" outlineLevelCol="1"/>
  <cols>
    <col min="1" max="1" width="34" customWidth="1"/>
    <col min="2" max="2" width="70" customWidth="1"/>
  </cols>
  <sheetData>
    <row r="1" ht="17.15" customHeight="1" spans="1:2">
      <c r="A1" s="1" t="s">
        <v>899</v>
      </c>
      <c r="B1" s="2" t="s">
        <v>900</v>
      </c>
    </row>
    <row r="2" ht="17.15" customHeight="1" spans="1:2">
      <c r="A2" s="1" t="s">
        <v>901</v>
      </c>
      <c r="B2" s="3" t="s">
        <v>902</v>
      </c>
    </row>
    <row r="3" ht="17.15" customHeight="1" spans="1:2">
      <c r="A3" s="1" t="s">
        <v>903</v>
      </c>
      <c r="B3" s="2" t="s">
        <v>904</v>
      </c>
    </row>
    <row r="4" ht="17.15" customHeight="1" spans="1:2">
      <c r="A4" s="1" t="s">
        <v>905</v>
      </c>
      <c r="B4" s="4" t="s">
        <v>906</v>
      </c>
    </row>
    <row r="5" ht="17.15" customHeight="1" spans="1:2">
      <c r="A5" s="1" t="s">
        <v>907</v>
      </c>
      <c r="B5" s="2" t="s">
        <v>908</v>
      </c>
    </row>
    <row r="6" ht="17.15" customHeight="1" spans="1:2">
      <c r="A6" s="1" t="s">
        <v>909</v>
      </c>
      <c r="B6" s="2" t="s">
        <v>908</v>
      </c>
    </row>
    <row r="7" ht="17.15" customHeight="1" spans="1:2">
      <c r="A7" s="1" t="s">
        <v>910</v>
      </c>
      <c r="B7" s="5" t="s">
        <v>900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 Instructions</vt:lpstr>
      <vt:lpstr>复核 Review</vt:lpstr>
      <vt:lpstr>汇总 Summary</vt:lpstr>
      <vt:lpstr>分歧处理 Resolution</vt:lpstr>
      <vt:lpstr>数据库结构 Schema</vt:lpstr>
      <vt:lpstr>复核人信息 Reviewer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水良水曼romantic</cp:lastModifiedBy>
  <cp:revision>0</cp:revision>
  <dcterms:created xsi:type="dcterms:W3CDTF">2026-09-30T23:59:00Z</dcterms:created>
  <dcterms:modified xsi:type="dcterms:W3CDTF">2026-10-04T12:32:52Z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12EBAD21CBB2494DAF05F47AD9707FD0_12</vt:lpwstr>
  </property>
  <property fmtid="{D5CDD505-2E9C-101B-9397-08002B2CF9AE}" pid="3" name="KSOProductBuildVer">
    <vt:lpwstr>2052-12.1.0.21170</vt:lpwstr>
  </property>
</Properties>
</file>